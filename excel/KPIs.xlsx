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Sem 7\Analisi de Dades\data-analysis-D1\excel\"/>
    </mc:Choice>
  </mc:AlternateContent>
  <xr:revisionPtr revIDLastSave="0" documentId="13_ncr:1_{527AC9DC-EE6C-430E-8A86-020A007CBB72}" xr6:coauthVersionLast="47" xr6:coauthVersionMax="47" xr10:uidLastSave="{00000000-0000-0000-0000-000000000000}"/>
  <bookViews>
    <workbookView xWindow="-108" yWindow="-108" windowWidth="30936" windowHeight="16896" xr2:uid="{034D09C6-43F7-4E74-B6F8-35E739F70E94}"/>
  </bookViews>
  <sheets>
    <sheet name="KPIs" sheetId="1" r:id="rId1"/>
    <sheet name="Monthly" sheetId="2" r:id="rId2"/>
    <sheet name="Daily" sheetId="3" r:id="rId3"/>
    <sheet name="Groups" sheetId="4" r:id="rId4"/>
    <sheet name="Users" sheetId="6" r:id="rId5"/>
    <sheet name="Sessions" sheetId="7" r:id="rId6"/>
    <sheet name="Purchases" sheetId="8" r:id="rId7"/>
    <sheet name="Item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0" i="6" l="1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2" i="6"/>
  <c r="C2" i="2"/>
  <c r="H2" i="7"/>
  <c r="I2" i="7"/>
  <c r="H3" i="7"/>
  <c r="I3" i="7"/>
  <c r="H4" i="7"/>
  <c r="I4" i="7"/>
  <c r="H5" i="7"/>
  <c r="I5" i="7"/>
  <c r="H6" i="7"/>
  <c r="I6" i="7"/>
  <c r="H7" i="7"/>
  <c r="I7" i="7"/>
  <c r="H8" i="7"/>
  <c r="I8" i="7"/>
  <c r="H9" i="7"/>
  <c r="I9" i="7"/>
  <c r="H10" i="7"/>
  <c r="I10" i="7"/>
  <c r="H11" i="7"/>
  <c r="I11" i="7"/>
  <c r="H12" i="7"/>
  <c r="I12" i="7"/>
  <c r="H13" i="7"/>
  <c r="I13" i="7"/>
  <c r="H14" i="7"/>
  <c r="I14" i="7"/>
  <c r="H15" i="7"/>
  <c r="I15" i="7"/>
  <c r="H16" i="7"/>
  <c r="I16" i="7"/>
  <c r="H17" i="7"/>
  <c r="I17" i="7"/>
  <c r="H18" i="7"/>
  <c r="I18" i="7"/>
  <c r="H19" i="7"/>
  <c r="I19" i="7"/>
  <c r="H20" i="7"/>
  <c r="I20" i="7"/>
  <c r="H21" i="7"/>
  <c r="I21" i="7"/>
  <c r="H22" i="7"/>
  <c r="I22" i="7"/>
  <c r="H23" i="7"/>
  <c r="I23" i="7"/>
  <c r="H24" i="7"/>
  <c r="I24" i="7"/>
  <c r="H25" i="7"/>
  <c r="I25" i="7"/>
  <c r="H26" i="7"/>
  <c r="I26" i="7"/>
  <c r="H27" i="7"/>
  <c r="I27" i="7"/>
  <c r="H28" i="7"/>
  <c r="I28" i="7"/>
  <c r="H29" i="7"/>
  <c r="I29" i="7"/>
  <c r="H30" i="7"/>
  <c r="I30" i="7"/>
  <c r="H31" i="7"/>
  <c r="I31" i="7"/>
  <c r="H32" i="7"/>
  <c r="I32" i="7"/>
  <c r="H33" i="7"/>
  <c r="I33" i="7"/>
  <c r="H34" i="7"/>
  <c r="I34" i="7"/>
  <c r="H35" i="7"/>
  <c r="I35" i="7"/>
  <c r="H36" i="7"/>
  <c r="I36" i="7"/>
  <c r="H37" i="7"/>
  <c r="I37" i="7"/>
  <c r="H38" i="7"/>
  <c r="I38" i="7"/>
  <c r="H39" i="7"/>
  <c r="I39" i="7"/>
  <c r="H40" i="7"/>
  <c r="I40" i="7"/>
  <c r="H41" i="7"/>
  <c r="I41" i="7"/>
  <c r="H42" i="7"/>
  <c r="I42" i="7"/>
  <c r="H43" i="7"/>
  <c r="I43" i="7"/>
  <c r="H44" i="7"/>
  <c r="I44" i="7"/>
  <c r="H45" i="7"/>
  <c r="I45" i="7"/>
  <c r="H46" i="7"/>
  <c r="I46" i="7"/>
  <c r="H47" i="7"/>
  <c r="I47" i="7"/>
  <c r="H48" i="7"/>
  <c r="I48" i="7"/>
  <c r="H49" i="7"/>
  <c r="I49" i="7"/>
  <c r="H50" i="7"/>
  <c r="I50" i="7"/>
  <c r="H51" i="7"/>
  <c r="I51" i="7"/>
  <c r="H52" i="7"/>
  <c r="I52" i="7"/>
  <c r="H53" i="7"/>
  <c r="I53" i="7"/>
  <c r="H54" i="7"/>
  <c r="I54" i="7"/>
  <c r="H55" i="7"/>
  <c r="I55" i="7"/>
  <c r="H56" i="7"/>
  <c r="I56" i="7"/>
  <c r="H57" i="7"/>
  <c r="I57" i="7"/>
  <c r="H58" i="7"/>
  <c r="I58" i="7"/>
  <c r="H59" i="7"/>
  <c r="I59" i="7"/>
  <c r="H60" i="7"/>
  <c r="I60" i="7"/>
  <c r="H61" i="7"/>
  <c r="I61" i="7"/>
  <c r="H62" i="7"/>
  <c r="I62" i="7"/>
  <c r="H63" i="7"/>
  <c r="I63" i="7"/>
  <c r="H64" i="7"/>
  <c r="I64" i="7"/>
  <c r="H65" i="7"/>
  <c r="I65" i="7"/>
  <c r="H66" i="7"/>
  <c r="I66" i="7"/>
  <c r="H67" i="7"/>
  <c r="I67" i="7"/>
  <c r="H68" i="7"/>
  <c r="I68" i="7"/>
  <c r="H69" i="7"/>
  <c r="I69" i="7"/>
  <c r="H70" i="7"/>
  <c r="I70" i="7"/>
  <c r="H71" i="7"/>
  <c r="I71" i="7"/>
  <c r="H72" i="7"/>
  <c r="I72" i="7"/>
  <c r="H73" i="7"/>
  <c r="I73" i="7"/>
  <c r="H74" i="7"/>
  <c r="I74" i="7"/>
  <c r="H75" i="7"/>
  <c r="I75" i="7"/>
  <c r="H76" i="7"/>
  <c r="I76" i="7"/>
  <c r="H77" i="7"/>
  <c r="I77" i="7"/>
  <c r="H78" i="7"/>
  <c r="I78" i="7"/>
  <c r="H79" i="7"/>
  <c r="I79" i="7"/>
  <c r="H80" i="7"/>
  <c r="I80" i="7"/>
  <c r="H81" i="7"/>
  <c r="I81" i="7"/>
  <c r="H82" i="7"/>
  <c r="I82" i="7"/>
  <c r="H83" i="7"/>
  <c r="I83" i="7"/>
  <c r="H84" i="7"/>
  <c r="I84" i="7"/>
  <c r="H85" i="7"/>
  <c r="I85" i="7"/>
  <c r="H86" i="7"/>
  <c r="I86" i="7"/>
  <c r="H87" i="7"/>
  <c r="I87" i="7"/>
  <c r="H88" i="7"/>
  <c r="I88" i="7"/>
  <c r="H89" i="7"/>
  <c r="I89" i="7"/>
  <c r="H90" i="7"/>
  <c r="I90" i="7"/>
  <c r="H91" i="7"/>
  <c r="I91" i="7"/>
  <c r="H92" i="7"/>
  <c r="I92" i="7"/>
  <c r="H93" i="7"/>
  <c r="I93" i="7"/>
  <c r="H94" i="7"/>
  <c r="I94" i="7"/>
  <c r="H95" i="7"/>
  <c r="I95" i="7"/>
  <c r="H96" i="7"/>
  <c r="I96" i="7"/>
  <c r="H97" i="7"/>
  <c r="I97" i="7"/>
  <c r="H98" i="7"/>
  <c r="I98" i="7"/>
  <c r="H99" i="7"/>
  <c r="I99" i="7"/>
  <c r="H100" i="7"/>
  <c r="I100" i="7"/>
  <c r="H101" i="7"/>
  <c r="I101" i="7"/>
  <c r="H102" i="7"/>
  <c r="I102" i="7"/>
  <c r="H103" i="7"/>
  <c r="I103" i="7"/>
  <c r="H104" i="7"/>
  <c r="I104" i="7"/>
  <c r="H105" i="7"/>
  <c r="I105" i="7"/>
  <c r="H106" i="7"/>
  <c r="I106" i="7"/>
  <c r="H107" i="7"/>
  <c r="I107" i="7"/>
  <c r="H108" i="7"/>
  <c r="I108" i="7"/>
  <c r="H109" i="7"/>
  <c r="I109" i="7"/>
  <c r="H110" i="7"/>
  <c r="I110" i="7"/>
  <c r="H111" i="7"/>
  <c r="I111" i="7"/>
  <c r="H112" i="7"/>
  <c r="I112" i="7"/>
  <c r="H113" i="7"/>
  <c r="I113" i="7"/>
  <c r="H114" i="7"/>
  <c r="I114" i="7"/>
  <c r="H115" i="7"/>
  <c r="I115" i="7"/>
  <c r="H116" i="7"/>
  <c r="I116" i="7"/>
  <c r="H117" i="7"/>
  <c r="I117" i="7"/>
  <c r="H118" i="7"/>
  <c r="I118" i="7"/>
  <c r="H119" i="7"/>
  <c r="I119" i="7"/>
  <c r="H120" i="7"/>
  <c r="I120" i="7"/>
  <c r="H121" i="7"/>
  <c r="I121" i="7"/>
  <c r="H122" i="7"/>
  <c r="I122" i="7"/>
  <c r="H123" i="7"/>
  <c r="I123" i="7"/>
  <c r="H124" i="7"/>
  <c r="I124" i="7"/>
  <c r="H125" i="7"/>
  <c r="I125" i="7"/>
  <c r="H126" i="7"/>
  <c r="I126" i="7"/>
  <c r="H127" i="7"/>
  <c r="I127" i="7"/>
  <c r="H128" i="7"/>
  <c r="I128" i="7"/>
  <c r="H129" i="7"/>
  <c r="I129" i="7"/>
  <c r="H130" i="7"/>
  <c r="I130" i="7"/>
  <c r="H131" i="7"/>
  <c r="I131" i="7"/>
  <c r="H132" i="7"/>
  <c r="I132" i="7"/>
  <c r="H133" i="7"/>
  <c r="I133" i="7"/>
  <c r="H134" i="7"/>
  <c r="I134" i="7"/>
  <c r="H135" i="7"/>
  <c r="I135" i="7"/>
  <c r="H136" i="7"/>
  <c r="I136" i="7"/>
  <c r="H137" i="7"/>
  <c r="I137" i="7"/>
  <c r="H138" i="7"/>
  <c r="I138" i="7"/>
  <c r="H139" i="7"/>
  <c r="I139" i="7"/>
  <c r="H140" i="7"/>
  <c r="I140" i="7"/>
  <c r="H141" i="7"/>
  <c r="I141" i="7"/>
  <c r="H142" i="7"/>
  <c r="I142" i="7"/>
  <c r="H143" i="7"/>
  <c r="I143" i="7"/>
  <c r="H144" i="7"/>
  <c r="I144" i="7"/>
  <c r="H145" i="7"/>
  <c r="I145" i="7"/>
  <c r="H146" i="7"/>
  <c r="I146" i="7"/>
  <c r="H147" i="7"/>
  <c r="I147" i="7"/>
  <c r="H148" i="7"/>
  <c r="I148" i="7"/>
  <c r="H149" i="7"/>
  <c r="I149" i="7"/>
  <c r="H150" i="7"/>
  <c r="I150" i="7"/>
  <c r="H151" i="7"/>
  <c r="I151" i="7"/>
  <c r="H152" i="7"/>
  <c r="I152" i="7"/>
  <c r="H153" i="7"/>
  <c r="I153" i="7"/>
  <c r="H154" i="7"/>
  <c r="I154" i="7"/>
  <c r="H155" i="7"/>
  <c r="I155" i="7"/>
  <c r="H156" i="7"/>
  <c r="I156" i="7"/>
  <c r="H157" i="7"/>
  <c r="I157" i="7"/>
  <c r="H158" i="7"/>
  <c r="I158" i="7"/>
  <c r="H159" i="7"/>
  <c r="I159" i="7"/>
  <c r="H160" i="7"/>
  <c r="I160" i="7"/>
  <c r="H161" i="7"/>
  <c r="I161" i="7"/>
  <c r="H162" i="7"/>
  <c r="I162" i="7"/>
  <c r="H163" i="7"/>
  <c r="I163" i="7"/>
  <c r="H164" i="7"/>
  <c r="I164" i="7"/>
  <c r="H165" i="7"/>
  <c r="I165" i="7"/>
  <c r="H166" i="7"/>
  <c r="I166" i="7"/>
  <c r="H167" i="7"/>
  <c r="I167" i="7"/>
  <c r="H168" i="7"/>
  <c r="I168" i="7"/>
  <c r="H169" i="7"/>
  <c r="I169" i="7"/>
  <c r="H170" i="7"/>
  <c r="I170" i="7"/>
  <c r="H171" i="7"/>
  <c r="I171" i="7"/>
  <c r="H172" i="7"/>
  <c r="I172" i="7"/>
  <c r="H173" i="7"/>
  <c r="I173" i="7"/>
  <c r="H174" i="7"/>
  <c r="I174" i="7"/>
  <c r="H175" i="7"/>
  <c r="I175" i="7"/>
  <c r="H176" i="7"/>
  <c r="I176" i="7"/>
  <c r="H177" i="7"/>
  <c r="I177" i="7"/>
  <c r="H178" i="7"/>
  <c r="I178" i="7"/>
  <c r="H179" i="7"/>
  <c r="I179" i="7"/>
  <c r="H180" i="7"/>
  <c r="I180" i="7"/>
  <c r="H181" i="7"/>
  <c r="I181" i="7"/>
  <c r="H182" i="7"/>
  <c r="I182" i="7"/>
  <c r="H183" i="7"/>
  <c r="I183" i="7"/>
  <c r="H184" i="7"/>
  <c r="I184" i="7"/>
  <c r="H185" i="7"/>
  <c r="I185" i="7"/>
  <c r="H186" i="7"/>
  <c r="I186" i="7"/>
  <c r="H187" i="7"/>
  <c r="I187" i="7"/>
  <c r="H188" i="7"/>
  <c r="I188" i="7"/>
  <c r="H189" i="7"/>
  <c r="I189" i="7"/>
  <c r="H190" i="7"/>
  <c r="I190" i="7"/>
  <c r="H191" i="7"/>
  <c r="I191" i="7"/>
  <c r="H192" i="7"/>
  <c r="I192" i="7"/>
  <c r="H193" i="7"/>
  <c r="I193" i="7"/>
  <c r="H194" i="7"/>
  <c r="I194" i="7"/>
  <c r="H195" i="7"/>
  <c r="I195" i="7"/>
  <c r="H196" i="7"/>
  <c r="I196" i="7"/>
  <c r="H197" i="7"/>
  <c r="I197" i="7"/>
  <c r="H198" i="7"/>
  <c r="I198" i="7"/>
  <c r="H199" i="7"/>
  <c r="I199" i="7"/>
  <c r="H200" i="7"/>
  <c r="I200" i="7"/>
  <c r="H201" i="7"/>
  <c r="I201" i="7"/>
  <c r="H202" i="7"/>
  <c r="I202" i="7"/>
  <c r="H203" i="7"/>
  <c r="I203" i="7"/>
  <c r="H204" i="7"/>
  <c r="I204" i="7"/>
  <c r="H205" i="7"/>
  <c r="I205" i="7"/>
  <c r="H206" i="7"/>
  <c r="I206" i="7"/>
  <c r="H207" i="7"/>
  <c r="I207" i="7"/>
  <c r="H208" i="7"/>
  <c r="I208" i="7"/>
  <c r="H209" i="7"/>
  <c r="I209" i="7"/>
  <c r="H210" i="7"/>
  <c r="I210" i="7"/>
  <c r="H211" i="7"/>
  <c r="I211" i="7"/>
  <c r="H212" i="7"/>
  <c r="I212" i="7"/>
  <c r="H213" i="7"/>
  <c r="I213" i="7"/>
  <c r="H214" i="7"/>
  <c r="I214" i="7"/>
  <c r="H215" i="7"/>
  <c r="I215" i="7"/>
  <c r="H216" i="7"/>
  <c r="I216" i="7"/>
  <c r="H217" i="7"/>
  <c r="I217" i="7"/>
  <c r="H218" i="7"/>
  <c r="I218" i="7"/>
  <c r="H219" i="7"/>
  <c r="I219" i="7"/>
  <c r="H220" i="7"/>
  <c r="I220" i="7"/>
  <c r="H221" i="7"/>
  <c r="I221" i="7"/>
  <c r="H222" i="7"/>
  <c r="I222" i="7"/>
  <c r="H223" i="7"/>
  <c r="I223" i="7"/>
  <c r="H224" i="7"/>
  <c r="I224" i="7"/>
  <c r="H225" i="7"/>
  <c r="I225" i="7"/>
  <c r="H226" i="7"/>
  <c r="I226" i="7"/>
  <c r="H227" i="7"/>
  <c r="I227" i="7"/>
  <c r="H228" i="7"/>
  <c r="I228" i="7"/>
  <c r="H229" i="7"/>
  <c r="I229" i="7"/>
  <c r="H230" i="7"/>
  <c r="I230" i="7"/>
  <c r="H231" i="7"/>
  <c r="I231" i="7"/>
  <c r="H232" i="7"/>
  <c r="I232" i="7"/>
  <c r="H233" i="7"/>
  <c r="I233" i="7"/>
  <c r="H234" i="7"/>
  <c r="I234" i="7"/>
  <c r="H235" i="7"/>
  <c r="I235" i="7"/>
  <c r="H236" i="7"/>
  <c r="I236" i="7"/>
  <c r="H237" i="7"/>
  <c r="I237" i="7"/>
  <c r="H238" i="7"/>
  <c r="I238" i="7"/>
  <c r="H239" i="7"/>
  <c r="I239" i="7"/>
  <c r="H240" i="7"/>
  <c r="I240" i="7"/>
  <c r="H241" i="7"/>
  <c r="I241" i="7"/>
  <c r="H242" i="7"/>
  <c r="I242" i="7"/>
  <c r="H243" i="7"/>
  <c r="I243" i="7"/>
  <c r="H244" i="7"/>
  <c r="I244" i="7"/>
  <c r="H245" i="7"/>
  <c r="I245" i="7"/>
  <c r="H246" i="7"/>
  <c r="I246" i="7"/>
  <c r="H247" i="7"/>
  <c r="I247" i="7"/>
  <c r="H248" i="7"/>
  <c r="I248" i="7"/>
  <c r="H249" i="7"/>
  <c r="I249" i="7"/>
  <c r="H250" i="7"/>
  <c r="I250" i="7"/>
  <c r="H251" i="7"/>
  <c r="I251" i="7"/>
  <c r="H252" i="7"/>
  <c r="I252" i="7"/>
  <c r="H253" i="7"/>
  <c r="I253" i="7"/>
  <c r="H254" i="7"/>
  <c r="I254" i="7"/>
  <c r="H255" i="7"/>
  <c r="I255" i="7"/>
  <c r="H256" i="7"/>
  <c r="I256" i="7"/>
  <c r="H257" i="7"/>
  <c r="I257" i="7"/>
  <c r="H258" i="7"/>
  <c r="I258" i="7"/>
  <c r="H259" i="7"/>
  <c r="I259" i="7"/>
  <c r="H260" i="7"/>
  <c r="I260" i="7"/>
  <c r="H261" i="7"/>
  <c r="I261" i="7"/>
  <c r="H262" i="7"/>
  <c r="I262" i="7"/>
  <c r="H263" i="7"/>
  <c r="I263" i="7"/>
  <c r="H264" i="7"/>
  <c r="I264" i="7"/>
  <c r="H265" i="7"/>
  <c r="I265" i="7"/>
  <c r="H266" i="7"/>
  <c r="I266" i="7"/>
  <c r="H267" i="7"/>
  <c r="I267" i="7"/>
  <c r="H268" i="7"/>
  <c r="I268" i="7"/>
  <c r="H269" i="7"/>
  <c r="I269" i="7"/>
  <c r="H270" i="7"/>
  <c r="I270" i="7"/>
  <c r="H271" i="7"/>
  <c r="I271" i="7"/>
  <c r="H272" i="7"/>
  <c r="I272" i="7"/>
  <c r="H273" i="7"/>
  <c r="I273" i="7"/>
  <c r="H274" i="7"/>
  <c r="I274" i="7"/>
  <c r="H275" i="7"/>
  <c r="I275" i="7"/>
  <c r="H276" i="7"/>
  <c r="I276" i="7"/>
  <c r="H277" i="7"/>
  <c r="I277" i="7"/>
  <c r="H278" i="7"/>
  <c r="I278" i="7"/>
  <c r="H279" i="7"/>
  <c r="I279" i="7"/>
  <c r="H280" i="7"/>
  <c r="I280" i="7"/>
  <c r="H281" i="7"/>
  <c r="I281" i="7"/>
  <c r="H282" i="7"/>
  <c r="I282" i="7"/>
  <c r="H283" i="7"/>
  <c r="I283" i="7"/>
  <c r="H284" i="7"/>
  <c r="I284" i="7"/>
  <c r="H285" i="7"/>
  <c r="I285" i="7"/>
  <c r="H286" i="7"/>
  <c r="I286" i="7"/>
  <c r="H287" i="7"/>
  <c r="I287" i="7"/>
  <c r="H288" i="7"/>
  <c r="I288" i="7"/>
  <c r="H289" i="7"/>
  <c r="I289" i="7"/>
  <c r="H290" i="7"/>
  <c r="I290" i="7"/>
  <c r="H291" i="7"/>
  <c r="I291" i="7"/>
  <c r="H292" i="7"/>
  <c r="I292" i="7"/>
  <c r="H293" i="7"/>
  <c r="I293" i="7"/>
  <c r="H294" i="7"/>
  <c r="I294" i="7"/>
  <c r="H295" i="7"/>
  <c r="I295" i="7"/>
  <c r="H296" i="7"/>
  <c r="I296" i="7"/>
  <c r="H297" i="7"/>
  <c r="I297" i="7"/>
  <c r="H298" i="7"/>
  <c r="I298" i="7"/>
  <c r="H299" i="7"/>
  <c r="I299" i="7"/>
  <c r="H300" i="7"/>
  <c r="I300" i="7"/>
  <c r="H301" i="7"/>
  <c r="I301" i="7"/>
  <c r="H302" i="7"/>
  <c r="I302" i="7"/>
  <c r="H303" i="7"/>
  <c r="I303" i="7"/>
  <c r="H304" i="7"/>
  <c r="I304" i="7"/>
  <c r="H305" i="7"/>
  <c r="I305" i="7"/>
  <c r="H306" i="7"/>
  <c r="I306" i="7"/>
  <c r="H307" i="7"/>
  <c r="I307" i="7"/>
  <c r="H308" i="7"/>
  <c r="I308" i="7"/>
  <c r="H309" i="7"/>
  <c r="I309" i="7"/>
  <c r="H310" i="7"/>
  <c r="I310" i="7"/>
  <c r="H311" i="7"/>
  <c r="I311" i="7"/>
  <c r="H312" i="7"/>
  <c r="I312" i="7"/>
  <c r="H313" i="7"/>
  <c r="I313" i="7"/>
  <c r="H314" i="7"/>
  <c r="I314" i="7"/>
  <c r="H315" i="7"/>
  <c r="I315" i="7"/>
  <c r="H316" i="7"/>
  <c r="I316" i="7"/>
  <c r="H317" i="7"/>
  <c r="I317" i="7"/>
  <c r="H318" i="7"/>
  <c r="I318" i="7"/>
  <c r="H319" i="7"/>
  <c r="I319" i="7"/>
  <c r="H320" i="7"/>
  <c r="I320" i="7"/>
  <c r="H321" i="7"/>
  <c r="I321" i="7"/>
  <c r="H322" i="7"/>
  <c r="I322" i="7"/>
  <c r="H323" i="7"/>
  <c r="I323" i="7"/>
  <c r="H324" i="7"/>
  <c r="I324" i="7"/>
  <c r="H325" i="7"/>
  <c r="I325" i="7"/>
  <c r="H326" i="7"/>
  <c r="I326" i="7"/>
  <c r="H327" i="7"/>
  <c r="I327" i="7"/>
  <c r="H328" i="7"/>
  <c r="I328" i="7"/>
  <c r="H329" i="7"/>
  <c r="I329" i="7"/>
  <c r="H330" i="7"/>
  <c r="I330" i="7"/>
  <c r="H331" i="7"/>
  <c r="I331" i="7"/>
  <c r="H332" i="7"/>
  <c r="I332" i="7"/>
  <c r="H333" i="7"/>
  <c r="I333" i="7"/>
  <c r="H334" i="7"/>
  <c r="I334" i="7"/>
  <c r="H335" i="7"/>
  <c r="I335" i="7"/>
  <c r="H336" i="7"/>
  <c r="I336" i="7"/>
  <c r="H337" i="7"/>
  <c r="I337" i="7"/>
  <c r="H338" i="7"/>
  <c r="I338" i="7"/>
  <c r="H339" i="7"/>
  <c r="I339" i="7"/>
  <c r="H340" i="7"/>
  <c r="I340" i="7"/>
  <c r="H341" i="7"/>
  <c r="I341" i="7"/>
  <c r="H342" i="7"/>
  <c r="I342" i="7"/>
  <c r="H343" i="7"/>
  <c r="I343" i="7"/>
  <c r="H344" i="7"/>
  <c r="I344" i="7"/>
  <c r="H345" i="7"/>
  <c r="I345" i="7"/>
  <c r="H346" i="7"/>
  <c r="I346" i="7"/>
  <c r="H347" i="7"/>
  <c r="I347" i="7"/>
  <c r="H348" i="7"/>
  <c r="I348" i="7"/>
  <c r="H349" i="7"/>
  <c r="I349" i="7"/>
  <c r="H350" i="7"/>
  <c r="I350" i="7"/>
  <c r="H351" i="7"/>
  <c r="I351" i="7"/>
  <c r="H352" i="7"/>
  <c r="I352" i="7"/>
  <c r="H353" i="7"/>
  <c r="I353" i="7"/>
  <c r="H354" i="7"/>
  <c r="I354" i="7"/>
  <c r="H355" i="7"/>
  <c r="I355" i="7"/>
  <c r="H356" i="7"/>
  <c r="I356" i="7"/>
  <c r="H357" i="7"/>
  <c r="I357" i="7"/>
  <c r="H358" i="7"/>
  <c r="I358" i="7"/>
  <c r="H359" i="7"/>
  <c r="I359" i="7"/>
  <c r="H360" i="7"/>
  <c r="I360" i="7"/>
  <c r="H361" i="7"/>
  <c r="I361" i="7"/>
  <c r="H362" i="7"/>
  <c r="I362" i="7"/>
  <c r="H363" i="7"/>
  <c r="I363" i="7"/>
  <c r="H364" i="7"/>
  <c r="I364" i="7"/>
  <c r="H365" i="7"/>
  <c r="I365" i="7"/>
  <c r="H366" i="7"/>
  <c r="I366" i="7"/>
  <c r="H367" i="7"/>
  <c r="I367" i="7"/>
  <c r="H368" i="7"/>
  <c r="I368" i="7"/>
  <c r="H369" i="7"/>
  <c r="I369" i="7"/>
  <c r="H370" i="7"/>
  <c r="I370" i="7"/>
  <c r="H371" i="7"/>
  <c r="I371" i="7"/>
  <c r="H372" i="7"/>
  <c r="I372" i="7"/>
  <c r="H373" i="7"/>
  <c r="I373" i="7"/>
  <c r="H374" i="7"/>
  <c r="I374" i="7"/>
  <c r="H375" i="7"/>
  <c r="I375" i="7"/>
  <c r="H376" i="7"/>
  <c r="I376" i="7"/>
  <c r="H377" i="7"/>
  <c r="I377" i="7"/>
  <c r="H378" i="7"/>
  <c r="I378" i="7"/>
  <c r="H379" i="7"/>
  <c r="I379" i="7"/>
  <c r="H380" i="7"/>
  <c r="I380" i="7"/>
  <c r="H381" i="7"/>
  <c r="I381" i="7"/>
  <c r="H382" i="7"/>
  <c r="I382" i="7"/>
  <c r="H383" i="7"/>
  <c r="I383" i="7"/>
  <c r="H384" i="7"/>
  <c r="I384" i="7"/>
  <c r="H385" i="7"/>
  <c r="I385" i="7"/>
  <c r="H386" i="7"/>
  <c r="I386" i="7"/>
  <c r="H387" i="7"/>
  <c r="I387" i="7"/>
  <c r="H388" i="7"/>
  <c r="I388" i="7"/>
  <c r="H389" i="7"/>
  <c r="I389" i="7"/>
  <c r="H390" i="7"/>
  <c r="I390" i="7"/>
  <c r="H391" i="7"/>
  <c r="I391" i="7"/>
  <c r="H392" i="7"/>
  <c r="I392" i="7"/>
  <c r="H393" i="7"/>
  <c r="I393" i="7"/>
  <c r="H394" i="7"/>
  <c r="I394" i="7"/>
  <c r="H395" i="7"/>
  <c r="I395" i="7"/>
  <c r="H396" i="7"/>
  <c r="I396" i="7"/>
  <c r="H397" i="7"/>
  <c r="I397" i="7"/>
  <c r="H398" i="7"/>
  <c r="I398" i="7"/>
  <c r="H399" i="7"/>
  <c r="I399" i="7"/>
  <c r="H400" i="7"/>
  <c r="I400" i="7"/>
  <c r="H401" i="7"/>
  <c r="I401" i="7"/>
  <c r="H402" i="7"/>
  <c r="I402" i="7"/>
  <c r="H403" i="7"/>
  <c r="I403" i="7"/>
  <c r="H404" i="7"/>
  <c r="I404" i="7"/>
  <c r="H405" i="7"/>
  <c r="I405" i="7"/>
  <c r="H406" i="7"/>
  <c r="I406" i="7"/>
  <c r="H407" i="7"/>
  <c r="I407" i="7"/>
  <c r="H408" i="7"/>
  <c r="I408" i="7"/>
  <c r="H409" i="7"/>
  <c r="I409" i="7"/>
  <c r="H410" i="7"/>
  <c r="I410" i="7"/>
  <c r="H411" i="7"/>
  <c r="I411" i="7"/>
  <c r="H412" i="7"/>
  <c r="I412" i="7"/>
  <c r="H413" i="7"/>
  <c r="I413" i="7"/>
  <c r="H414" i="7"/>
  <c r="I414" i="7"/>
  <c r="H415" i="7"/>
  <c r="I415" i="7"/>
  <c r="H416" i="7"/>
  <c r="I416" i="7"/>
  <c r="H417" i="7"/>
  <c r="I417" i="7"/>
  <c r="H418" i="7"/>
  <c r="I418" i="7"/>
  <c r="H419" i="7"/>
  <c r="I419" i="7"/>
  <c r="H420" i="7"/>
  <c r="I420" i="7"/>
  <c r="H421" i="7"/>
  <c r="I421" i="7"/>
  <c r="H422" i="7"/>
  <c r="I422" i="7"/>
  <c r="H423" i="7"/>
  <c r="I423" i="7"/>
  <c r="H424" i="7"/>
  <c r="I424" i="7"/>
  <c r="H425" i="7"/>
  <c r="I425" i="7"/>
  <c r="H426" i="7"/>
  <c r="I426" i="7"/>
  <c r="H427" i="7"/>
  <c r="I427" i="7"/>
  <c r="H428" i="7"/>
  <c r="I428" i="7"/>
  <c r="H429" i="7"/>
  <c r="I429" i="7"/>
  <c r="H430" i="7"/>
  <c r="I430" i="7"/>
  <c r="H431" i="7"/>
  <c r="I431" i="7"/>
  <c r="H432" i="7"/>
  <c r="I432" i="7"/>
  <c r="H433" i="7"/>
  <c r="I433" i="7"/>
  <c r="H434" i="7"/>
  <c r="I434" i="7"/>
  <c r="H435" i="7"/>
  <c r="I435" i="7"/>
  <c r="H436" i="7"/>
  <c r="I436" i="7"/>
  <c r="H437" i="7"/>
  <c r="I437" i="7"/>
  <c r="H438" i="7"/>
  <c r="I438" i="7"/>
  <c r="H439" i="7"/>
  <c r="I439" i="7"/>
  <c r="H440" i="7"/>
  <c r="I440" i="7"/>
  <c r="H441" i="7"/>
  <c r="I441" i="7"/>
  <c r="H442" i="7"/>
  <c r="I442" i="7"/>
  <c r="H443" i="7"/>
  <c r="I443" i="7"/>
  <c r="H444" i="7"/>
  <c r="I444" i="7"/>
  <c r="H445" i="7"/>
  <c r="I445" i="7"/>
  <c r="H446" i="7"/>
  <c r="I446" i="7"/>
  <c r="H447" i="7"/>
  <c r="I447" i="7"/>
  <c r="H448" i="7"/>
  <c r="I448" i="7"/>
  <c r="H449" i="7"/>
  <c r="I449" i="7"/>
  <c r="H450" i="7"/>
  <c r="I450" i="7"/>
  <c r="H451" i="7"/>
  <c r="I451" i="7"/>
  <c r="H452" i="7"/>
  <c r="I452" i="7"/>
  <c r="H453" i="7"/>
  <c r="I453" i="7"/>
  <c r="H454" i="7"/>
  <c r="I454" i="7"/>
  <c r="H455" i="7"/>
  <c r="I455" i="7"/>
  <c r="H456" i="7"/>
  <c r="I456" i="7"/>
  <c r="H457" i="7"/>
  <c r="I457" i="7"/>
  <c r="H458" i="7"/>
  <c r="I458" i="7"/>
  <c r="H459" i="7"/>
  <c r="I459" i="7"/>
  <c r="H460" i="7"/>
  <c r="I460" i="7"/>
  <c r="H461" i="7"/>
  <c r="I461" i="7"/>
  <c r="H462" i="7"/>
  <c r="I462" i="7"/>
  <c r="H463" i="7"/>
  <c r="I463" i="7"/>
  <c r="H464" i="7"/>
  <c r="I464" i="7"/>
  <c r="H465" i="7"/>
  <c r="I465" i="7"/>
  <c r="H466" i="7"/>
  <c r="I466" i="7"/>
  <c r="H467" i="7"/>
  <c r="I467" i="7"/>
  <c r="H468" i="7"/>
  <c r="I468" i="7"/>
  <c r="H469" i="7"/>
  <c r="I469" i="7"/>
  <c r="H470" i="7"/>
  <c r="I470" i="7"/>
  <c r="H471" i="7"/>
  <c r="I471" i="7"/>
  <c r="H472" i="7"/>
  <c r="I472" i="7"/>
  <c r="H473" i="7"/>
  <c r="I473" i="7"/>
  <c r="H474" i="7"/>
  <c r="I474" i="7"/>
  <c r="H475" i="7"/>
  <c r="I475" i="7"/>
  <c r="H476" i="7"/>
  <c r="I476" i="7"/>
  <c r="H477" i="7"/>
  <c r="I477" i="7"/>
  <c r="H478" i="7"/>
  <c r="I478" i="7"/>
  <c r="H479" i="7"/>
  <c r="I479" i="7"/>
  <c r="H480" i="7"/>
  <c r="I480" i="7"/>
  <c r="H481" i="7"/>
  <c r="I481" i="7"/>
  <c r="H482" i="7"/>
  <c r="I482" i="7"/>
  <c r="H483" i="7"/>
  <c r="I483" i="7"/>
  <c r="H484" i="7"/>
  <c r="I484" i="7"/>
  <c r="H485" i="7"/>
  <c r="I485" i="7"/>
  <c r="H486" i="7"/>
  <c r="I486" i="7"/>
  <c r="H487" i="7"/>
  <c r="I487" i="7"/>
  <c r="H488" i="7"/>
  <c r="I488" i="7"/>
  <c r="H489" i="7"/>
  <c r="I489" i="7"/>
  <c r="H490" i="7"/>
  <c r="I490" i="7"/>
  <c r="H491" i="7"/>
  <c r="I491" i="7"/>
  <c r="H492" i="7"/>
  <c r="I492" i="7"/>
  <c r="H493" i="7"/>
  <c r="I493" i="7"/>
  <c r="H494" i="7"/>
  <c r="I494" i="7"/>
  <c r="H495" i="7"/>
  <c r="I495" i="7"/>
  <c r="H496" i="7"/>
  <c r="I496" i="7"/>
  <c r="H497" i="7"/>
  <c r="I497" i="7"/>
  <c r="H498" i="7"/>
  <c r="I498" i="7"/>
  <c r="H499" i="7"/>
  <c r="I499" i="7"/>
  <c r="H500" i="7"/>
  <c r="I500" i="7"/>
  <c r="H501" i="7"/>
  <c r="I501" i="7"/>
  <c r="H502" i="7"/>
  <c r="I502" i="7"/>
  <c r="H503" i="7"/>
  <c r="I503" i="7"/>
  <c r="H504" i="7"/>
  <c r="I504" i="7"/>
  <c r="H505" i="7"/>
  <c r="I505" i="7"/>
  <c r="H506" i="7"/>
  <c r="I506" i="7"/>
  <c r="H507" i="7"/>
  <c r="I507" i="7"/>
  <c r="H508" i="7"/>
  <c r="I508" i="7"/>
  <c r="H509" i="7"/>
  <c r="I509" i="7"/>
  <c r="H510" i="7"/>
  <c r="I510" i="7"/>
  <c r="H511" i="7"/>
  <c r="I511" i="7"/>
  <c r="H512" i="7"/>
  <c r="I512" i="7"/>
  <c r="H513" i="7"/>
  <c r="I513" i="7"/>
  <c r="H514" i="7"/>
  <c r="I514" i="7"/>
  <c r="H515" i="7"/>
  <c r="I515" i="7"/>
  <c r="H516" i="7"/>
  <c r="I516" i="7"/>
  <c r="H517" i="7"/>
  <c r="I517" i="7"/>
  <c r="H518" i="7"/>
  <c r="I518" i="7"/>
  <c r="H519" i="7"/>
  <c r="I519" i="7"/>
  <c r="H520" i="7"/>
  <c r="I520" i="7"/>
  <c r="H521" i="7"/>
  <c r="I521" i="7"/>
  <c r="H522" i="7"/>
  <c r="I522" i="7"/>
  <c r="H523" i="7"/>
  <c r="I523" i="7"/>
  <c r="H524" i="7"/>
  <c r="I524" i="7"/>
  <c r="H525" i="7"/>
  <c r="I525" i="7"/>
  <c r="H526" i="7"/>
  <c r="I526" i="7"/>
  <c r="H527" i="7"/>
  <c r="I527" i="7"/>
  <c r="H528" i="7"/>
  <c r="I528" i="7"/>
  <c r="H529" i="7"/>
  <c r="I529" i="7"/>
  <c r="H530" i="7"/>
  <c r="I530" i="7"/>
  <c r="H531" i="7"/>
  <c r="I531" i="7"/>
  <c r="H532" i="7"/>
  <c r="I532" i="7"/>
  <c r="H533" i="7"/>
  <c r="I533" i="7"/>
  <c r="H534" i="7"/>
  <c r="I534" i="7"/>
  <c r="H535" i="7"/>
  <c r="I535" i="7"/>
  <c r="H536" i="7"/>
  <c r="I536" i="7"/>
  <c r="H537" i="7"/>
  <c r="I537" i="7"/>
  <c r="H538" i="7"/>
  <c r="I538" i="7"/>
  <c r="H539" i="7"/>
  <c r="I539" i="7"/>
  <c r="H540" i="7"/>
  <c r="I540" i="7"/>
  <c r="H541" i="7"/>
  <c r="I541" i="7"/>
  <c r="H542" i="7"/>
  <c r="I542" i="7"/>
  <c r="H543" i="7"/>
  <c r="I543" i="7"/>
  <c r="H544" i="7"/>
  <c r="I544" i="7"/>
  <c r="H545" i="7"/>
  <c r="I545" i="7"/>
  <c r="H546" i="7"/>
  <c r="I546" i="7"/>
  <c r="H547" i="7"/>
  <c r="I547" i="7"/>
  <c r="H548" i="7"/>
  <c r="I548" i="7"/>
  <c r="H549" i="7"/>
  <c r="I549" i="7"/>
  <c r="H550" i="7"/>
  <c r="I550" i="7"/>
  <c r="H551" i="7"/>
  <c r="I551" i="7"/>
  <c r="H552" i="7"/>
  <c r="I552" i="7"/>
  <c r="H553" i="7"/>
  <c r="I553" i="7"/>
  <c r="H554" i="7"/>
  <c r="I554" i="7"/>
  <c r="H555" i="7"/>
  <c r="I555" i="7"/>
  <c r="H556" i="7"/>
  <c r="I556" i="7"/>
  <c r="H557" i="7"/>
  <c r="I557" i="7"/>
  <c r="H558" i="7"/>
  <c r="I558" i="7"/>
  <c r="H559" i="7"/>
  <c r="I559" i="7"/>
  <c r="H560" i="7"/>
  <c r="I560" i="7"/>
  <c r="H561" i="7"/>
  <c r="I561" i="7"/>
  <c r="H562" i="7"/>
  <c r="I562" i="7"/>
  <c r="H563" i="7"/>
  <c r="I563" i="7"/>
  <c r="H564" i="7"/>
  <c r="I564" i="7"/>
  <c r="H565" i="7"/>
  <c r="I565" i="7"/>
  <c r="H566" i="7"/>
  <c r="I566" i="7"/>
  <c r="H567" i="7"/>
  <c r="I567" i="7"/>
  <c r="H568" i="7"/>
  <c r="I568" i="7"/>
  <c r="H569" i="7"/>
  <c r="I569" i="7"/>
  <c r="H570" i="7"/>
  <c r="I570" i="7"/>
  <c r="H571" i="7"/>
  <c r="I571" i="7"/>
  <c r="H572" i="7"/>
  <c r="I572" i="7"/>
  <c r="H573" i="7"/>
  <c r="I573" i="7"/>
  <c r="H574" i="7"/>
  <c r="I574" i="7"/>
  <c r="H575" i="7"/>
  <c r="I575" i="7"/>
  <c r="H576" i="7"/>
  <c r="I576" i="7"/>
  <c r="H577" i="7"/>
  <c r="I577" i="7"/>
  <c r="H578" i="7"/>
  <c r="I578" i="7"/>
  <c r="H579" i="7"/>
  <c r="I579" i="7"/>
  <c r="H580" i="7"/>
  <c r="I580" i="7"/>
  <c r="H581" i="7"/>
  <c r="I581" i="7"/>
  <c r="H582" i="7"/>
  <c r="I582" i="7"/>
  <c r="H583" i="7"/>
  <c r="I583" i="7"/>
  <c r="H584" i="7"/>
  <c r="I584" i="7"/>
  <c r="H585" i="7"/>
  <c r="I585" i="7"/>
  <c r="H586" i="7"/>
  <c r="I586" i="7"/>
  <c r="H587" i="7"/>
  <c r="I587" i="7"/>
  <c r="H588" i="7"/>
  <c r="I588" i="7"/>
  <c r="H589" i="7"/>
  <c r="I589" i="7"/>
  <c r="H590" i="7"/>
  <c r="I590" i="7"/>
  <c r="H591" i="7"/>
  <c r="I591" i="7"/>
  <c r="H592" i="7"/>
  <c r="I592" i="7"/>
  <c r="H593" i="7"/>
  <c r="I593" i="7"/>
  <c r="H594" i="7"/>
  <c r="I594" i="7"/>
  <c r="H595" i="7"/>
  <c r="I595" i="7"/>
  <c r="H596" i="7"/>
  <c r="I596" i="7"/>
  <c r="H597" i="7"/>
  <c r="I597" i="7"/>
  <c r="H598" i="7"/>
  <c r="I598" i="7"/>
  <c r="H599" i="7"/>
  <c r="I599" i="7"/>
  <c r="H600" i="7"/>
  <c r="I600" i="7"/>
  <c r="H601" i="7"/>
  <c r="I601" i="7"/>
  <c r="H602" i="7"/>
  <c r="I602" i="7"/>
  <c r="H603" i="7"/>
  <c r="I603" i="7"/>
  <c r="H604" i="7"/>
  <c r="I604" i="7"/>
  <c r="H605" i="7"/>
  <c r="I605" i="7"/>
  <c r="H606" i="7"/>
  <c r="I606" i="7"/>
  <c r="H607" i="7"/>
  <c r="I607" i="7"/>
  <c r="H608" i="7"/>
  <c r="I608" i="7"/>
  <c r="H609" i="7"/>
  <c r="I609" i="7"/>
  <c r="H610" i="7"/>
  <c r="I610" i="7"/>
  <c r="H611" i="7"/>
  <c r="I611" i="7"/>
  <c r="H612" i="7"/>
  <c r="I612" i="7"/>
  <c r="H613" i="7"/>
  <c r="I613" i="7"/>
  <c r="H614" i="7"/>
  <c r="I614" i="7"/>
  <c r="H615" i="7"/>
  <c r="I615" i="7"/>
  <c r="H616" i="7"/>
  <c r="I616" i="7"/>
  <c r="H617" i="7"/>
  <c r="I617" i="7"/>
  <c r="H618" i="7"/>
  <c r="I618" i="7"/>
  <c r="H619" i="7"/>
  <c r="I619" i="7"/>
  <c r="H620" i="7"/>
  <c r="I620" i="7"/>
  <c r="H621" i="7"/>
  <c r="I621" i="7"/>
  <c r="H622" i="7"/>
  <c r="I622" i="7"/>
  <c r="H623" i="7"/>
  <c r="I623" i="7"/>
  <c r="H624" i="7"/>
  <c r="I624" i="7"/>
  <c r="H625" i="7"/>
  <c r="I625" i="7"/>
  <c r="H626" i="7"/>
  <c r="I626" i="7"/>
  <c r="H627" i="7"/>
  <c r="I627" i="7"/>
  <c r="H628" i="7"/>
  <c r="I628" i="7"/>
  <c r="H629" i="7"/>
  <c r="I629" i="7"/>
  <c r="H630" i="7"/>
  <c r="I630" i="7"/>
  <c r="H631" i="7"/>
  <c r="I631" i="7"/>
  <c r="H632" i="7"/>
  <c r="I632" i="7"/>
  <c r="H633" i="7"/>
  <c r="I633" i="7"/>
  <c r="H634" i="7"/>
  <c r="I634" i="7"/>
  <c r="H635" i="7"/>
  <c r="I635" i="7"/>
  <c r="H636" i="7"/>
  <c r="I636" i="7"/>
  <c r="H637" i="7"/>
  <c r="I637" i="7"/>
  <c r="H638" i="7"/>
  <c r="I638" i="7"/>
  <c r="H639" i="7"/>
  <c r="I639" i="7"/>
  <c r="H640" i="7"/>
  <c r="I640" i="7"/>
  <c r="H641" i="7"/>
  <c r="I641" i="7"/>
  <c r="H642" i="7"/>
  <c r="I642" i="7"/>
  <c r="H643" i="7"/>
  <c r="I643" i="7"/>
  <c r="H644" i="7"/>
  <c r="I644" i="7"/>
  <c r="H645" i="7"/>
  <c r="I645" i="7"/>
  <c r="H646" i="7"/>
  <c r="I646" i="7"/>
  <c r="H647" i="7"/>
  <c r="I647" i="7"/>
  <c r="H648" i="7"/>
  <c r="I648" i="7"/>
  <c r="H649" i="7"/>
  <c r="I649" i="7"/>
  <c r="H650" i="7"/>
  <c r="I650" i="7"/>
  <c r="H651" i="7"/>
  <c r="I651" i="7"/>
  <c r="H652" i="7"/>
  <c r="I652" i="7"/>
  <c r="H653" i="7"/>
  <c r="I653" i="7"/>
  <c r="H654" i="7"/>
  <c r="I654" i="7"/>
  <c r="H655" i="7"/>
  <c r="I655" i="7"/>
  <c r="H656" i="7"/>
  <c r="I656" i="7"/>
  <c r="H657" i="7"/>
  <c r="I657" i="7"/>
  <c r="H658" i="7"/>
  <c r="I658" i="7"/>
  <c r="H659" i="7"/>
  <c r="I659" i="7"/>
  <c r="H660" i="7"/>
  <c r="I660" i="7"/>
  <c r="H661" i="7"/>
  <c r="I661" i="7"/>
  <c r="H662" i="7"/>
  <c r="I662" i="7"/>
  <c r="H663" i="7"/>
  <c r="I663" i="7"/>
  <c r="H664" i="7"/>
  <c r="I664" i="7"/>
  <c r="H665" i="7"/>
  <c r="I665" i="7"/>
  <c r="H666" i="7"/>
  <c r="I666" i="7"/>
  <c r="H667" i="7"/>
  <c r="I667" i="7"/>
  <c r="H668" i="7"/>
  <c r="I668" i="7"/>
  <c r="H669" i="7"/>
  <c r="I669" i="7"/>
  <c r="H670" i="7"/>
  <c r="I670" i="7"/>
  <c r="H671" i="7"/>
  <c r="I671" i="7"/>
  <c r="H672" i="7"/>
  <c r="I672" i="7"/>
  <c r="H673" i="7"/>
  <c r="I673" i="7"/>
  <c r="H674" i="7"/>
  <c r="I674" i="7"/>
  <c r="H675" i="7"/>
  <c r="I675" i="7"/>
  <c r="H676" i="7"/>
  <c r="I676" i="7"/>
  <c r="H677" i="7"/>
  <c r="I677" i="7"/>
  <c r="H678" i="7"/>
  <c r="I678" i="7"/>
  <c r="H679" i="7"/>
  <c r="I679" i="7"/>
  <c r="H680" i="7"/>
  <c r="I680" i="7"/>
  <c r="H681" i="7"/>
  <c r="I681" i="7"/>
  <c r="H682" i="7"/>
  <c r="I682" i="7"/>
  <c r="H683" i="7"/>
  <c r="I683" i="7"/>
  <c r="H684" i="7"/>
  <c r="I684" i="7"/>
  <c r="H685" i="7"/>
  <c r="I685" i="7"/>
  <c r="H686" i="7"/>
  <c r="I686" i="7"/>
  <c r="H687" i="7"/>
  <c r="I687" i="7"/>
  <c r="H688" i="7"/>
  <c r="I688" i="7"/>
  <c r="H689" i="7"/>
  <c r="I689" i="7"/>
  <c r="H690" i="7"/>
  <c r="I690" i="7"/>
  <c r="H691" i="7"/>
  <c r="I691" i="7"/>
  <c r="H692" i="7"/>
  <c r="I692" i="7"/>
  <c r="H693" i="7"/>
  <c r="I693" i="7"/>
  <c r="H694" i="7"/>
  <c r="I694" i="7"/>
  <c r="H695" i="7"/>
  <c r="I695" i="7"/>
  <c r="H696" i="7"/>
  <c r="I696" i="7"/>
  <c r="H697" i="7"/>
  <c r="I697" i="7"/>
  <c r="H698" i="7"/>
  <c r="I698" i="7"/>
  <c r="H699" i="7"/>
  <c r="I699" i="7"/>
  <c r="H700" i="7"/>
  <c r="I700" i="7"/>
  <c r="H701" i="7"/>
  <c r="I701" i="7"/>
  <c r="H702" i="7"/>
  <c r="I702" i="7"/>
  <c r="H703" i="7"/>
  <c r="I703" i="7"/>
  <c r="H704" i="7"/>
  <c r="I704" i="7"/>
  <c r="H705" i="7"/>
  <c r="I705" i="7"/>
  <c r="H706" i="7"/>
  <c r="I706" i="7"/>
  <c r="H707" i="7"/>
  <c r="I707" i="7"/>
  <c r="H708" i="7"/>
  <c r="I708" i="7"/>
  <c r="H709" i="7"/>
  <c r="I709" i="7"/>
  <c r="H710" i="7"/>
  <c r="I710" i="7"/>
  <c r="H711" i="7"/>
  <c r="I711" i="7"/>
  <c r="H712" i="7"/>
  <c r="I712" i="7"/>
  <c r="H713" i="7"/>
  <c r="I713" i="7"/>
  <c r="H714" i="7"/>
  <c r="I714" i="7"/>
  <c r="H715" i="7"/>
  <c r="I715" i="7"/>
  <c r="H716" i="7"/>
  <c r="I716" i="7"/>
  <c r="H717" i="7"/>
  <c r="I717" i="7"/>
  <c r="H718" i="7"/>
  <c r="I718" i="7"/>
  <c r="H719" i="7"/>
  <c r="I719" i="7"/>
  <c r="H720" i="7"/>
  <c r="I720" i="7"/>
  <c r="H721" i="7"/>
  <c r="I721" i="7"/>
  <c r="H722" i="7"/>
  <c r="I722" i="7"/>
  <c r="H723" i="7"/>
  <c r="I723" i="7"/>
  <c r="H724" i="7"/>
  <c r="I724" i="7"/>
  <c r="H725" i="7"/>
  <c r="I725" i="7"/>
  <c r="H726" i="7"/>
  <c r="I726" i="7"/>
  <c r="H727" i="7"/>
  <c r="I727" i="7"/>
  <c r="H728" i="7"/>
  <c r="I728" i="7"/>
  <c r="H729" i="7"/>
  <c r="I729" i="7"/>
  <c r="H730" i="7"/>
  <c r="I730" i="7"/>
  <c r="H731" i="7"/>
  <c r="I731" i="7"/>
  <c r="H732" i="7"/>
  <c r="I732" i="7"/>
  <c r="H733" i="7"/>
  <c r="I733" i="7"/>
  <c r="H734" i="7"/>
  <c r="I734" i="7"/>
  <c r="H735" i="7"/>
  <c r="I735" i="7"/>
  <c r="H736" i="7"/>
  <c r="I736" i="7"/>
  <c r="H737" i="7"/>
  <c r="I737" i="7"/>
  <c r="H738" i="7"/>
  <c r="I738" i="7"/>
  <c r="H739" i="7"/>
  <c r="I739" i="7"/>
  <c r="H740" i="7"/>
  <c r="I740" i="7"/>
  <c r="H741" i="7"/>
  <c r="I741" i="7"/>
  <c r="H742" i="7"/>
  <c r="I742" i="7"/>
  <c r="H743" i="7"/>
  <c r="I743" i="7"/>
  <c r="H744" i="7"/>
  <c r="I744" i="7"/>
  <c r="H745" i="7"/>
  <c r="I745" i="7"/>
  <c r="H746" i="7"/>
  <c r="I746" i="7"/>
  <c r="H747" i="7"/>
  <c r="I747" i="7"/>
  <c r="H748" i="7"/>
  <c r="I748" i="7"/>
  <c r="H749" i="7"/>
  <c r="I749" i="7"/>
  <c r="H750" i="7"/>
  <c r="I750" i="7"/>
  <c r="H751" i="7"/>
  <c r="I751" i="7"/>
  <c r="H752" i="7"/>
  <c r="I752" i="7"/>
  <c r="H753" i="7"/>
  <c r="I753" i="7"/>
  <c r="H754" i="7"/>
  <c r="I754" i="7"/>
  <c r="H755" i="7"/>
  <c r="I755" i="7"/>
  <c r="H756" i="7"/>
  <c r="I756" i="7"/>
  <c r="H757" i="7"/>
  <c r="I757" i="7"/>
  <c r="H758" i="7"/>
  <c r="I758" i="7"/>
  <c r="H759" i="7"/>
  <c r="I759" i="7"/>
  <c r="H760" i="7"/>
  <c r="I760" i="7"/>
  <c r="H761" i="7"/>
  <c r="I761" i="7"/>
  <c r="H762" i="7"/>
  <c r="I762" i="7"/>
  <c r="H763" i="7"/>
  <c r="I763" i="7"/>
  <c r="H764" i="7"/>
  <c r="I764" i="7"/>
  <c r="H765" i="7"/>
  <c r="I765" i="7"/>
  <c r="H766" i="7"/>
  <c r="I766" i="7"/>
  <c r="H767" i="7"/>
  <c r="I767" i="7"/>
  <c r="H768" i="7"/>
  <c r="I768" i="7"/>
  <c r="H769" i="7"/>
  <c r="I769" i="7"/>
  <c r="H770" i="7"/>
  <c r="I770" i="7"/>
  <c r="H771" i="7"/>
  <c r="I771" i="7"/>
  <c r="H772" i="7"/>
  <c r="I772" i="7"/>
  <c r="H773" i="7"/>
  <c r="I773" i="7"/>
  <c r="H774" i="7"/>
  <c r="I774" i="7"/>
  <c r="H775" i="7"/>
  <c r="I775" i="7"/>
  <c r="H776" i="7"/>
  <c r="I776" i="7"/>
  <c r="H777" i="7"/>
  <c r="I777" i="7"/>
  <c r="H778" i="7"/>
  <c r="I778" i="7"/>
  <c r="H779" i="7"/>
  <c r="I779" i="7"/>
  <c r="H780" i="7"/>
  <c r="I780" i="7"/>
  <c r="H781" i="7"/>
  <c r="I781" i="7"/>
  <c r="H782" i="7"/>
  <c r="I782" i="7"/>
  <c r="H783" i="7"/>
  <c r="I783" i="7"/>
  <c r="H784" i="7"/>
  <c r="I784" i="7"/>
  <c r="H785" i="7"/>
  <c r="I785" i="7"/>
  <c r="H786" i="7"/>
  <c r="I786" i="7"/>
  <c r="H787" i="7"/>
  <c r="I787" i="7"/>
  <c r="H788" i="7"/>
  <c r="I788" i="7"/>
  <c r="H789" i="7"/>
  <c r="I789" i="7"/>
  <c r="H790" i="7"/>
  <c r="I790" i="7"/>
  <c r="H791" i="7"/>
  <c r="I791" i="7"/>
  <c r="H792" i="7"/>
  <c r="I792" i="7"/>
  <c r="H793" i="7"/>
  <c r="I793" i="7"/>
  <c r="H794" i="7"/>
  <c r="I794" i="7"/>
  <c r="H795" i="7"/>
  <c r="I795" i="7"/>
  <c r="H796" i="7"/>
  <c r="I796" i="7"/>
  <c r="H797" i="7"/>
  <c r="I797" i="7"/>
  <c r="H798" i="7"/>
  <c r="I798" i="7"/>
  <c r="H799" i="7"/>
  <c r="I799" i="7"/>
  <c r="H800" i="7"/>
  <c r="I800" i="7"/>
  <c r="H801" i="7"/>
  <c r="I801" i="7"/>
  <c r="H802" i="7"/>
  <c r="I802" i="7"/>
  <c r="H803" i="7"/>
  <c r="I803" i="7"/>
  <c r="H804" i="7"/>
  <c r="I804" i="7"/>
  <c r="H805" i="7"/>
  <c r="I805" i="7"/>
  <c r="H806" i="7"/>
  <c r="I806" i="7"/>
  <c r="H807" i="7"/>
  <c r="I807" i="7"/>
  <c r="H808" i="7"/>
  <c r="I808" i="7"/>
  <c r="H809" i="7"/>
  <c r="I809" i="7"/>
  <c r="H810" i="7"/>
  <c r="I810" i="7"/>
  <c r="H811" i="7"/>
  <c r="I811" i="7"/>
  <c r="H812" i="7"/>
  <c r="I812" i="7"/>
  <c r="H813" i="7"/>
  <c r="I813" i="7"/>
  <c r="H814" i="7"/>
  <c r="I814" i="7"/>
  <c r="H815" i="7"/>
  <c r="I815" i="7"/>
  <c r="H816" i="7"/>
  <c r="I816" i="7"/>
  <c r="H817" i="7"/>
  <c r="I817" i="7"/>
  <c r="H818" i="7"/>
  <c r="I818" i="7"/>
  <c r="H819" i="7"/>
  <c r="I819" i="7"/>
  <c r="H820" i="7"/>
  <c r="I820" i="7"/>
  <c r="H821" i="7"/>
  <c r="I821" i="7"/>
  <c r="H822" i="7"/>
  <c r="I822" i="7"/>
  <c r="H823" i="7"/>
  <c r="I823" i="7"/>
  <c r="H824" i="7"/>
  <c r="I824" i="7"/>
  <c r="H825" i="7"/>
  <c r="I825" i="7"/>
  <c r="H826" i="7"/>
  <c r="I826" i="7"/>
  <c r="H827" i="7"/>
  <c r="I827" i="7"/>
  <c r="H828" i="7"/>
  <c r="I828" i="7"/>
  <c r="H829" i="7"/>
  <c r="I829" i="7"/>
  <c r="H830" i="7"/>
  <c r="I830" i="7"/>
  <c r="H831" i="7"/>
  <c r="I831" i="7"/>
  <c r="H832" i="7"/>
  <c r="I832" i="7"/>
  <c r="H833" i="7"/>
  <c r="I833" i="7"/>
  <c r="H834" i="7"/>
  <c r="I834" i="7"/>
  <c r="H835" i="7"/>
  <c r="I835" i="7"/>
  <c r="H836" i="7"/>
  <c r="I836" i="7"/>
  <c r="H837" i="7"/>
  <c r="I837" i="7"/>
  <c r="H838" i="7"/>
  <c r="I838" i="7"/>
  <c r="H839" i="7"/>
  <c r="I839" i="7"/>
  <c r="H840" i="7"/>
  <c r="I840" i="7"/>
  <c r="H841" i="7"/>
  <c r="I841" i="7"/>
  <c r="H842" i="7"/>
  <c r="I842" i="7"/>
  <c r="H843" i="7"/>
  <c r="I843" i="7"/>
  <c r="H844" i="7"/>
  <c r="I844" i="7"/>
  <c r="H845" i="7"/>
  <c r="I845" i="7"/>
  <c r="H846" i="7"/>
  <c r="I846" i="7"/>
  <c r="H847" i="7"/>
  <c r="I847" i="7"/>
  <c r="H848" i="7"/>
  <c r="I848" i="7"/>
  <c r="H849" i="7"/>
  <c r="I849" i="7"/>
  <c r="H850" i="7"/>
  <c r="I850" i="7"/>
  <c r="H851" i="7"/>
  <c r="I851" i="7"/>
  <c r="H852" i="7"/>
  <c r="I852" i="7"/>
  <c r="H853" i="7"/>
  <c r="I853" i="7"/>
  <c r="H854" i="7"/>
  <c r="I854" i="7"/>
  <c r="H855" i="7"/>
  <c r="I855" i="7"/>
  <c r="H856" i="7"/>
  <c r="I856" i="7"/>
  <c r="H857" i="7"/>
  <c r="I857" i="7"/>
  <c r="H858" i="7"/>
  <c r="I858" i="7"/>
  <c r="H859" i="7"/>
  <c r="I859" i="7"/>
  <c r="H860" i="7"/>
  <c r="I860" i="7"/>
  <c r="H861" i="7"/>
  <c r="I861" i="7"/>
  <c r="H862" i="7"/>
  <c r="I862" i="7"/>
  <c r="H863" i="7"/>
  <c r="I863" i="7"/>
  <c r="H864" i="7"/>
  <c r="I864" i="7"/>
  <c r="H865" i="7"/>
  <c r="I865" i="7"/>
  <c r="H866" i="7"/>
  <c r="I866" i="7"/>
  <c r="H867" i="7"/>
  <c r="I867" i="7"/>
  <c r="H868" i="7"/>
  <c r="I868" i="7"/>
  <c r="H869" i="7"/>
  <c r="I869" i="7"/>
  <c r="H870" i="7"/>
  <c r="I870" i="7"/>
  <c r="H871" i="7"/>
  <c r="I871" i="7"/>
  <c r="H872" i="7"/>
  <c r="I872" i="7"/>
  <c r="H873" i="7"/>
  <c r="I873" i="7"/>
  <c r="H874" i="7"/>
  <c r="I874" i="7"/>
  <c r="H875" i="7"/>
  <c r="I875" i="7"/>
  <c r="H876" i="7"/>
  <c r="I876" i="7"/>
  <c r="H877" i="7"/>
  <c r="I877" i="7"/>
  <c r="H878" i="7"/>
  <c r="I878" i="7"/>
  <c r="H879" i="7"/>
  <c r="I879" i="7"/>
  <c r="H880" i="7"/>
  <c r="I880" i="7"/>
  <c r="H881" i="7"/>
  <c r="I881" i="7"/>
  <c r="H882" i="7"/>
  <c r="I882" i="7"/>
  <c r="H883" i="7"/>
  <c r="I883" i="7"/>
  <c r="H884" i="7"/>
  <c r="I884" i="7"/>
  <c r="H885" i="7"/>
  <c r="I885" i="7"/>
  <c r="H886" i="7"/>
  <c r="I886" i="7"/>
  <c r="H887" i="7"/>
  <c r="I887" i="7"/>
  <c r="H888" i="7"/>
  <c r="I888" i="7"/>
  <c r="H889" i="7"/>
  <c r="I889" i="7"/>
  <c r="H890" i="7"/>
  <c r="I890" i="7"/>
  <c r="H891" i="7"/>
  <c r="I891" i="7"/>
  <c r="H892" i="7"/>
  <c r="I892" i="7"/>
  <c r="H893" i="7"/>
  <c r="I893" i="7"/>
  <c r="H894" i="7"/>
  <c r="I894" i="7"/>
  <c r="H895" i="7"/>
  <c r="I895" i="7"/>
  <c r="H896" i="7"/>
  <c r="I896" i="7"/>
  <c r="H897" i="7"/>
  <c r="I897" i="7"/>
  <c r="H898" i="7"/>
  <c r="I898" i="7"/>
  <c r="H899" i="7"/>
  <c r="I899" i="7"/>
  <c r="H900" i="7"/>
  <c r="I900" i="7"/>
  <c r="H901" i="7"/>
  <c r="I901" i="7"/>
  <c r="H902" i="7"/>
  <c r="I902" i="7"/>
  <c r="H903" i="7"/>
  <c r="I903" i="7"/>
  <c r="H904" i="7"/>
  <c r="I904" i="7"/>
  <c r="H905" i="7"/>
  <c r="I905" i="7"/>
  <c r="H906" i="7"/>
  <c r="I906" i="7"/>
  <c r="H907" i="7"/>
  <c r="I907" i="7"/>
  <c r="H908" i="7"/>
  <c r="I908" i="7"/>
  <c r="H909" i="7"/>
  <c r="I909" i="7"/>
  <c r="H910" i="7"/>
  <c r="I910" i="7"/>
  <c r="H911" i="7"/>
  <c r="I911" i="7"/>
  <c r="H912" i="7"/>
  <c r="I912" i="7"/>
  <c r="H913" i="7"/>
  <c r="I913" i="7"/>
  <c r="H914" i="7"/>
  <c r="I914" i="7"/>
  <c r="H915" i="7"/>
  <c r="I915" i="7"/>
  <c r="H916" i="7"/>
  <c r="I916" i="7"/>
  <c r="H917" i="7"/>
  <c r="I917" i="7"/>
  <c r="H918" i="7"/>
  <c r="I918" i="7"/>
  <c r="H919" i="7"/>
  <c r="I919" i="7"/>
  <c r="H920" i="7"/>
  <c r="I920" i="7"/>
  <c r="H921" i="7"/>
  <c r="I921" i="7"/>
  <c r="H922" i="7"/>
  <c r="I922" i="7"/>
  <c r="H923" i="7"/>
  <c r="I923" i="7"/>
  <c r="H924" i="7"/>
  <c r="I924" i="7"/>
  <c r="H925" i="7"/>
  <c r="I925" i="7"/>
  <c r="H926" i="7"/>
  <c r="I926" i="7"/>
  <c r="H927" i="7"/>
  <c r="I927" i="7"/>
  <c r="H928" i="7"/>
  <c r="I928" i="7"/>
  <c r="H929" i="7"/>
  <c r="I929" i="7"/>
  <c r="H930" i="7"/>
  <c r="I930" i="7"/>
  <c r="H931" i="7"/>
  <c r="I931" i="7"/>
  <c r="H932" i="7"/>
  <c r="I932" i="7"/>
  <c r="H933" i="7"/>
  <c r="I933" i="7"/>
  <c r="H934" i="7"/>
  <c r="I934" i="7"/>
  <c r="H935" i="7"/>
  <c r="I935" i="7"/>
  <c r="H936" i="7"/>
  <c r="I936" i="7"/>
  <c r="H937" i="7"/>
  <c r="I937" i="7"/>
  <c r="H938" i="7"/>
  <c r="I938" i="7"/>
  <c r="H939" i="7"/>
  <c r="I939" i="7"/>
  <c r="H940" i="7"/>
  <c r="I940" i="7"/>
  <c r="H941" i="7"/>
  <c r="I941" i="7"/>
  <c r="H942" i="7"/>
  <c r="I942" i="7"/>
  <c r="H943" i="7"/>
  <c r="I943" i="7"/>
  <c r="H944" i="7"/>
  <c r="I944" i="7"/>
  <c r="H945" i="7"/>
  <c r="I945" i="7"/>
  <c r="H946" i="7"/>
  <c r="I946" i="7"/>
  <c r="H947" i="7"/>
  <c r="I947" i="7"/>
  <c r="H948" i="7"/>
  <c r="I948" i="7"/>
  <c r="H949" i="7"/>
  <c r="I949" i="7"/>
  <c r="H950" i="7"/>
  <c r="I950" i="7"/>
  <c r="H951" i="7"/>
  <c r="I951" i="7"/>
  <c r="H952" i="7"/>
  <c r="I952" i="7"/>
  <c r="H953" i="7"/>
  <c r="I953" i="7"/>
  <c r="H954" i="7"/>
  <c r="I954" i="7"/>
  <c r="H955" i="7"/>
  <c r="I955" i="7"/>
  <c r="H956" i="7"/>
  <c r="I956" i="7"/>
  <c r="H957" i="7"/>
  <c r="I957" i="7"/>
  <c r="H958" i="7"/>
  <c r="I958" i="7"/>
  <c r="H959" i="7"/>
  <c r="I959" i="7"/>
  <c r="H960" i="7"/>
  <c r="I960" i="7"/>
  <c r="H961" i="7"/>
  <c r="I961" i="7"/>
  <c r="H962" i="7"/>
  <c r="I962" i="7"/>
  <c r="H963" i="7"/>
  <c r="I963" i="7"/>
  <c r="H964" i="7"/>
  <c r="I964" i="7"/>
  <c r="H965" i="7"/>
  <c r="I965" i="7"/>
  <c r="H966" i="7"/>
  <c r="I966" i="7"/>
  <c r="H967" i="7"/>
  <c r="I967" i="7"/>
  <c r="H968" i="7"/>
  <c r="I968" i="7"/>
  <c r="H969" i="7"/>
  <c r="I969" i="7"/>
  <c r="H970" i="7"/>
  <c r="I970" i="7"/>
  <c r="H971" i="7"/>
  <c r="I971" i="7"/>
  <c r="H972" i="7"/>
  <c r="I972" i="7"/>
  <c r="H973" i="7"/>
  <c r="I973" i="7"/>
  <c r="H974" i="7"/>
  <c r="I974" i="7"/>
  <c r="H975" i="7"/>
  <c r="I975" i="7"/>
  <c r="H976" i="7"/>
  <c r="I976" i="7"/>
  <c r="H977" i="7"/>
  <c r="I977" i="7"/>
  <c r="H978" i="7"/>
  <c r="I978" i="7"/>
  <c r="H979" i="7"/>
  <c r="I979" i="7"/>
  <c r="H980" i="7"/>
  <c r="I980" i="7"/>
  <c r="H981" i="7"/>
  <c r="I981" i="7"/>
  <c r="H982" i="7"/>
  <c r="I982" i="7"/>
  <c r="H983" i="7"/>
  <c r="I983" i="7"/>
  <c r="H984" i="7"/>
  <c r="I984" i="7"/>
  <c r="H985" i="7"/>
  <c r="I985" i="7"/>
  <c r="H986" i="7"/>
  <c r="I986" i="7"/>
  <c r="H987" i="7"/>
  <c r="I987" i="7"/>
  <c r="H988" i="7"/>
  <c r="I988" i="7"/>
  <c r="H989" i="7"/>
  <c r="I989" i="7"/>
  <c r="H990" i="7"/>
  <c r="I990" i="7"/>
  <c r="H991" i="7"/>
  <c r="I991" i="7"/>
  <c r="H992" i="7"/>
  <c r="I992" i="7"/>
  <c r="H993" i="7"/>
  <c r="I993" i="7"/>
  <c r="H994" i="7"/>
  <c r="I994" i="7"/>
  <c r="H995" i="7"/>
  <c r="I995" i="7"/>
  <c r="H996" i="7"/>
  <c r="I996" i="7"/>
  <c r="H997" i="7"/>
  <c r="I997" i="7"/>
  <c r="H998" i="7"/>
  <c r="I998" i="7"/>
  <c r="H999" i="7"/>
  <c r="I999" i="7"/>
  <c r="H1000" i="7"/>
  <c r="I1000" i="7"/>
  <c r="H1001" i="7"/>
  <c r="I1001" i="7"/>
  <c r="H1002" i="7"/>
  <c r="I1002" i="7"/>
  <c r="H1003" i="7"/>
  <c r="I1003" i="7"/>
  <c r="H1004" i="7"/>
  <c r="I1004" i="7"/>
  <c r="H1005" i="7"/>
  <c r="I1005" i="7"/>
  <c r="H1006" i="7"/>
  <c r="I1006" i="7"/>
  <c r="H1007" i="7"/>
  <c r="I1007" i="7"/>
  <c r="H1008" i="7"/>
  <c r="I1008" i="7"/>
  <c r="H1009" i="7"/>
  <c r="I1009" i="7"/>
  <c r="H1010" i="7"/>
  <c r="I1010" i="7"/>
  <c r="H1011" i="7"/>
  <c r="I1011" i="7"/>
  <c r="H1012" i="7"/>
  <c r="I1012" i="7"/>
  <c r="H1013" i="7"/>
  <c r="I1013" i="7"/>
  <c r="H1014" i="7"/>
  <c r="I1014" i="7"/>
  <c r="H1015" i="7"/>
  <c r="I1015" i="7"/>
  <c r="H1016" i="7"/>
  <c r="I1016" i="7"/>
  <c r="H1017" i="7"/>
  <c r="I1017" i="7"/>
  <c r="H1018" i="7"/>
  <c r="I1018" i="7"/>
  <c r="H1019" i="7"/>
  <c r="I1019" i="7"/>
  <c r="H1020" i="7"/>
  <c r="I1020" i="7"/>
  <c r="H1021" i="7"/>
  <c r="I1021" i="7"/>
  <c r="H1022" i="7"/>
  <c r="I1022" i="7"/>
  <c r="H1023" i="7"/>
  <c r="I1023" i="7"/>
  <c r="H1024" i="7"/>
  <c r="I1024" i="7"/>
  <c r="H1025" i="7"/>
  <c r="I1025" i="7"/>
  <c r="H1026" i="7"/>
  <c r="I1026" i="7"/>
  <c r="H1027" i="7"/>
  <c r="I1027" i="7"/>
  <c r="H1028" i="7"/>
  <c r="I1028" i="7"/>
  <c r="H1029" i="7"/>
  <c r="I1029" i="7"/>
  <c r="H1030" i="7"/>
  <c r="I1030" i="7"/>
  <c r="H1031" i="7"/>
  <c r="I1031" i="7"/>
  <c r="H1032" i="7"/>
  <c r="I1032" i="7"/>
  <c r="H1033" i="7"/>
  <c r="I1033" i="7"/>
  <c r="H1034" i="7"/>
  <c r="I1034" i="7"/>
  <c r="H1035" i="7"/>
  <c r="I1035" i="7"/>
  <c r="H1036" i="7"/>
  <c r="I1036" i="7"/>
  <c r="H1037" i="7"/>
  <c r="I1037" i="7"/>
  <c r="H1038" i="7"/>
  <c r="I1038" i="7"/>
  <c r="H1039" i="7"/>
  <c r="I1039" i="7"/>
  <c r="H1040" i="7"/>
  <c r="I1040" i="7"/>
  <c r="H1041" i="7"/>
  <c r="I1041" i="7"/>
  <c r="H1042" i="7"/>
  <c r="I1042" i="7"/>
  <c r="H1043" i="7"/>
  <c r="I1043" i="7"/>
  <c r="H1044" i="7"/>
  <c r="I1044" i="7"/>
  <c r="H1045" i="7"/>
  <c r="I1045" i="7"/>
  <c r="H1046" i="7"/>
  <c r="I1046" i="7"/>
  <c r="H1047" i="7"/>
  <c r="I1047" i="7"/>
  <c r="H1048" i="7"/>
  <c r="I1048" i="7"/>
  <c r="H1049" i="7"/>
  <c r="I1049" i="7"/>
  <c r="H1050" i="7"/>
  <c r="I1050" i="7"/>
  <c r="H1051" i="7"/>
  <c r="I1051" i="7"/>
  <c r="H1052" i="7"/>
  <c r="I1052" i="7"/>
  <c r="H1053" i="7"/>
  <c r="I1053" i="7"/>
  <c r="H1054" i="7"/>
  <c r="I1054" i="7"/>
  <c r="H1055" i="7"/>
  <c r="I1055" i="7"/>
  <c r="H1056" i="7"/>
  <c r="I1056" i="7"/>
  <c r="H1057" i="7"/>
  <c r="I1057" i="7"/>
  <c r="H1058" i="7"/>
  <c r="I1058" i="7"/>
  <c r="H1059" i="7"/>
  <c r="I1059" i="7"/>
  <c r="H1060" i="7"/>
  <c r="I1060" i="7"/>
  <c r="H1061" i="7"/>
  <c r="I1061" i="7"/>
  <c r="H1062" i="7"/>
  <c r="I1062" i="7"/>
  <c r="H1063" i="7"/>
  <c r="I1063" i="7"/>
  <c r="H1064" i="7"/>
  <c r="I1064" i="7"/>
  <c r="H1065" i="7"/>
  <c r="I1065" i="7"/>
  <c r="H1066" i="7"/>
  <c r="I1066" i="7"/>
  <c r="H1067" i="7"/>
  <c r="I1067" i="7"/>
  <c r="H1068" i="7"/>
  <c r="I1068" i="7"/>
  <c r="H1069" i="7"/>
  <c r="I1069" i="7"/>
  <c r="H1070" i="7"/>
  <c r="I1070" i="7"/>
  <c r="H1071" i="7"/>
  <c r="I1071" i="7"/>
  <c r="H1072" i="7"/>
  <c r="I1072" i="7"/>
  <c r="H1073" i="7"/>
  <c r="I1073" i="7"/>
  <c r="H1074" i="7"/>
  <c r="I1074" i="7"/>
  <c r="H1075" i="7"/>
  <c r="I1075" i="7"/>
  <c r="H1076" i="7"/>
  <c r="I1076" i="7"/>
  <c r="H1077" i="7"/>
  <c r="I1077" i="7"/>
  <c r="H1078" i="7"/>
  <c r="I1078" i="7"/>
  <c r="H1079" i="7"/>
  <c r="I1079" i="7"/>
  <c r="H1080" i="7"/>
  <c r="I1080" i="7"/>
  <c r="H1081" i="7"/>
  <c r="I1081" i="7"/>
  <c r="H1082" i="7"/>
  <c r="I1082" i="7"/>
  <c r="H1083" i="7"/>
  <c r="I1083" i="7"/>
  <c r="H1084" i="7"/>
  <c r="I1084" i="7"/>
  <c r="H1085" i="7"/>
  <c r="I1085" i="7"/>
  <c r="H1086" i="7"/>
  <c r="I1086" i="7"/>
  <c r="H1087" i="7"/>
  <c r="I1087" i="7"/>
  <c r="H1088" i="7"/>
  <c r="I1088" i="7"/>
  <c r="H1089" i="7"/>
  <c r="I1089" i="7"/>
  <c r="H1090" i="7"/>
  <c r="I1090" i="7"/>
  <c r="H1091" i="7"/>
  <c r="I1091" i="7"/>
  <c r="H1092" i="7"/>
  <c r="I1092" i="7"/>
  <c r="H1093" i="7"/>
  <c r="I1093" i="7"/>
  <c r="H1094" i="7"/>
  <c r="I1094" i="7"/>
  <c r="H1095" i="7"/>
  <c r="I1095" i="7"/>
  <c r="H1096" i="7"/>
  <c r="I1096" i="7"/>
  <c r="H1097" i="7"/>
  <c r="I1097" i="7"/>
  <c r="H1098" i="7"/>
  <c r="I1098" i="7"/>
  <c r="H1099" i="7"/>
  <c r="I1099" i="7"/>
  <c r="H1100" i="7"/>
  <c r="I1100" i="7"/>
  <c r="H1101" i="7"/>
  <c r="I1101" i="7"/>
  <c r="H1102" i="7"/>
  <c r="I1102" i="7"/>
  <c r="H1103" i="7"/>
  <c r="I1103" i="7"/>
  <c r="H1104" i="7"/>
  <c r="I1104" i="7"/>
  <c r="H1105" i="7"/>
  <c r="I1105" i="7"/>
  <c r="H1106" i="7"/>
  <c r="I1106" i="7"/>
  <c r="H1107" i="7"/>
  <c r="I1107" i="7"/>
  <c r="H1108" i="7"/>
  <c r="I1108" i="7"/>
  <c r="H1109" i="7"/>
  <c r="I1109" i="7"/>
  <c r="H1110" i="7"/>
  <c r="I1110" i="7"/>
  <c r="H1111" i="7"/>
  <c r="I1111" i="7"/>
  <c r="H1112" i="7"/>
  <c r="I1112" i="7"/>
  <c r="H1113" i="7"/>
  <c r="I1113" i="7"/>
  <c r="H1114" i="7"/>
  <c r="I1114" i="7"/>
  <c r="H1115" i="7"/>
  <c r="I1115" i="7"/>
  <c r="H1116" i="7"/>
  <c r="I1116" i="7"/>
  <c r="H1117" i="7"/>
  <c r="I1117" i="7"/>
  <c r="H1118" i="7"/>
  <c r="I1118" i="7"/>
  <c r="H1119" i="7"/>
  <c r="I1119" i="7"/>
  <c r="H1120" i="7"/>
  <c r="I1120" i="7"/>
  <c r="H1121" i="7"/>
  <c r="I1121" i="7"/>
  <c r="H1122" i="7"/>
  <c r="I1122" i="7"/>
  <c r="H1123" i="7"/>
  <c r="I1123" i="7"/>
  <c r="H1124" i="7"/>
  <c r="I1124" i="7"/>
  <c r="H1125" i="7"/>
  <c r="I1125" i="7"/>
  <c r="H1126" i="7"/>
  <c r="I1126" i="7"/>
  <c r="H1127" i="7"/>
  <c r="I1127" i="7"/>
  <c r="H1128" i="7"/>
  <c r="I1128" i="7"/>
  <c r="H1129" i="7"/>
  <c r="I1129" i="7"/>
  <c r="H1130" i="7"/>
  <c r="I1130" i="7"/>
  <c r="H1131" i="7"/>
  <c r="I1131" i="7"/>
  <c r="H1132" i="7"/>
  <c r="I1132" i="7"/>
  <c r="H1133" i="7"/>
  <c r="I1133" i="7"/>
  <c r="H1134" i="7"/>
  <c r="I1134" i="7"/>
  <c r="H1135" i="7"/>
  <c r="I1135" i="7"/>
  <c r="H1136" i="7"/>
  <c r="I1136" i="7"/>
  <c r="H1137" i="7"/>
  <c r="I1137" i="7"/>
  <c r="H1138" i="7"/>
  <c r="I1138" i="7"/>
  <c r="H1139" i="7"/>
  <c r="I1139" i="7"/>
  <c r="H1140" i="7"/>
  <c r="I1140" i="7"/>
  <c r="H1141" i="7"/>
  <c r="I1141" i="7"/>
  <c r="H1142" i="7"/>
  <c r="I1142" i="7"/>
  <c r="H1143" i="7"/>
  <c r="I1143" i="7"/>
  <c r="H1144" i="7"/>
  <c r="I1144" i="7"/>
  <c r="H1145" i="7"/>
  <c r="I1145" i="7"/>
  <c r="H1146" i="7"/>
  <c r="I1146" i="7"/>
  <c r="H1147" i="7"/>
  <c r="I1147" i="7"/>
  <c r="H1148" i="7"/>
  <c r="I1148" i="7"/>
  <c r="H1149" i="7"/>
  <c r="I1149" i="7"/>
  <c r="H1150" i="7"/>
  <c r="I1150" i="7"/>
  <c r="H1151" i="7"/>
  <c r="I1151" i="7"/>
  <c r="H1152" i="7"/>
  <c r="I1152" i="7"/>
  <c r="H1153" i="7"/>
  <c r="I1153" i="7"/>
  <c r="H1154" i="7"/>
  <c r="I1154" i="7"/>
  <c r="H1155" i="7"/>
  <c r="I1155" i="7"/>
  <c r="H1156" i="7"/>
  <c r="I1156" i="7"/>
  <c r="H1157" i="7"/>
  <c r="I1157" i="7"/>
  <c r="H1158" i="7"/>
  <c r="I1158" i="7"/>
  <c r="H1159" i="7"/>
  <c r="I1159" i="7"/>
  <c r="H1160" i="7"/>
  <c r="I1160" i="7"/>
  <c r="H1161" i="7"/>
  <c r="I1161" i="7"/>
  <c r="H1162" i="7"/>
  <c r="I1162" i="7"/>
  <c r="H1163" i="7"/>
  <c r="I1163" i="7"/>
  <c r="H1164" i="7"/>
  <c r="I1164" i="7"/>
  <c r="H1165" i="7"/>
  <c r="I1165" i="7"/>
  <c r="H1166" i="7"/>
  <c r="I1166" i="7"/>
  <c r="H1167" i="7"/>
  <c r="I1167" i="7"/>
  <c r="H1168" i="7"/>
  <c r="I1168" i="7"/>
  <c r="H1169" i="7"/>
  <c r="I1169" i="7"/>
  <c r="H1170" i="7"/>
  <c r="I1170" i="7"/>
  <c r="H1171" i="7"/>
  <c r="I1171" i="7"/>
  <c r="H1172" i="7"/>
  <c r="I1172" i="7"/>
  <c r="H1173" i="7"/>
  <c r="I1173" i="7"/>
  <c r="H1174" i="7"/>
  <c r="I1174" i="7"/>
  <c r="H1175" i="7"/>
  <c r="I1175" i="7"/>
  <c r="H1176" i="7"/>
  <c r="I1176" i="7"/>
  <c r="H1177" i="7"/>
  <c r="I1177" i="7"/>
  <c r="H1178" i="7"/>
  <c r="I1178" i="7"/>
  <c r="H1179" i="7"/>
  <c r="I1179" i="7"/>
  <c r="H1180" i="7"/>
  <c r="I1180" i="7"/>
  <c r="H1181" i="7"/>
  <c r="I1181" i="7"/>
  <c r="H1182" i="7"/>
  <c r="I1182" i="7"/>
  <c r="H1183" i="7"/>
  <c r="I1183" i="7"/>
  <c r="H1184" i="7"/>
  <c r="I1184" i="7"/>
  <c r="H1185" i="7"/>
  <c r="I1185" i="7"/>
  <c r="G2" i="6"/>
  <c r="C13" i="4"/>
  <c r="C12" i="4"/>
  <c r="C11" i="4"/>
  <c r="C10" i="4"/>
  <c r="C9" i="4"/>
  <c r="C8" i="4"/>
  <c r="A2" i="3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O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K55" i="6" s="1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K70" i="6" l="1"/>
  <c r="L98" i="6"/>
  <c r="K98" i="6"/>
  <c r="K94" i="6"/>
  <c r="L93" i="6"/>
  <c r="M93" i="6"/>
  <c r="M99" i="6"/>
  <c r="L78" i="6"/>
  <c r="L69" i="6"/>
  <c r="M45" i="6"/>
  <c r="M81" i="6"/>
  <c r="K79" i="6"/>
  <c r="M75" i="6"/>
  <c r="L64" i="6"/>
  <c r="K50" i="6"/>
  <c r="K36" i="6"/>
  <c r="K7" i="6"/>
  <c r="M63" i="6"/>
  <c r="I2" i="6"/>
  <c r="I14" i="6"/>
  <c r="J14" i="6" s="1"/>
  <c r="I23" i="6"/>
  <c r="J23" i="6" s="1"/>
  <c r="I35" i="6"/>
  <c r="J35" i="6" s="1"/>
  <c r="I45" i="6"/>
  <c r="J45" i="6" s="1"/>
  <c r="I57" i="6"/>
  <c r="J57" i="6" s="1"/>
  <c r="I66" i="6"/>
  <c r="J66" i="6" s="1"/>
  <c r="I78" i="6"/>
  <c r="J78" i="6" s="1"/>
  <c r="I88" i="6"/>
  <c r="J88" i="6" s="1"/>
  <c r="I96" i="6"/>
  <c r="J96" i="6" s="1"/>
  <c r="I65" i="6"/>
  <c r="J65" i="6" s="1"/>
  <c r="I10" i="6"/>
  <c r="J10" i="6" s="1"/>
  <c r="I75" i="6"/>
  <c r="J75" i="6" s="1"/>
  <c r="I22" i="6"/>
  <c r="J22" i="6" s="1"/>
  <c r="I87" i="6"/>
  <c r="J87" i="6" s="1"/>
  <c r="I95" i="6"/>
  <c r="J95" i="6" s="1"/>
  <c r="I44" i="6"/>
  <c r="J44" i="6" s="1"/>
  <c r="I32" i="6"/>
  <c r="J32" i="6" s="1"/>
  <c r="I53" i="6"/>
  <c r="J53" i="6" s="1"/>
  <c r="M101" i="6"/>
  <c r="L101" i="6"/>
  <c r="K101" i="6"/>
  <c r="M95" i="6"/>
  <c r="K95" i="6"/>
  <c r="L95" i="6"/>
  <c r="M89" i="6"/>
  <c r="K89" i="6"/>
  <c r="L89" i="6"/>
  <c r="M83" i="6"/>
  <c r="K83" i="6"/>
  <c r="L83" i="6"/>
  <c r="M77" i="6"/>
  <c r="K77" i="6"/>
  <c r="L77" i="6"/>
  <c r="M71" i="6"/>
  <c r="K71" i="6"/>
  <c r="L71" i="6"/>
  <c r="M65" i="6"/>
  <c r="L65" i="6"/>
  <c r="K65" i="6"/>
  <c r="M59" i="6"/>
  <c r="K59" i="6"/>
  <c r="L59" i="6"/>
  <c r="M53" i="6"/>
  <c r="K53" i="6"/>
  <c r="L53" i="6"/>
  <c r="M47" i="6"/>
  <c r="K47" i="6"/>
  <c r="L47" i="6"/>
  <c r="M41" i="6"/>
  <c r="L41" i="6"/>
  <c r="K41" i="6"/>
  <c r="M35" i="6"/>
  <c r="K35" i="6"/>
  <c r="L35" i="6"/>
  <c r="M29" i="6"/>
  <c r="K29" i="6"/>
  <c r="M23" i="6"/>
  <c r="K23" i="6"/>
  <c r="L23" i="6"/>
  <c r="M17" i="6"/>
  <c r="K17" i="6"/>
  <c r="L17" i="6"/>
  <c r="M11" i="6"/>
  <c r="K11" i="6"/>
  <c r="L11" i="6"/>
  <c r="M5" i="6"/>
  <c r="L5" i="6"/>
  <c r="K5" i="6"/>
  <c r="K26" i="6"/>
  <c r="K22" i="6"/>
  <c r="M21" i="6"/>
  <c r="M14" i="6"/>
  <c r="M57" i="6"/>
  <c r="L29" i="6"/>
  <c r="F14" i="1"/>
  <c r="B14" i="1"/>
  <c r="M38" i="6"/>
  <c r="M91" i="6"/>
  <c r="M85" i="6"/>
  <c r="M73" i="6"/>
  <c r="M100" i="6"/>
  <c r="M64" i="6"/>
  <c r="L63" i="6"/>
  <c r="M92" i="6"/>
  <c r="M74" i="6"/>
  <c r="L62" i="6"/>
  <c r="M56" i="6"/>
  <c r="K20" i="6"/>
  <c r="M67" i="6"/>
  <c r="M55" i="6"/>
  <c r="M49" i="6"/>
  <c r="K43" i="6"/>
  <c r="M37" i="6"/>
  <c r="K19" i="6"/>
  <c r="M13" i="6"/>
  <c r="F4" i="2"/>
  <c r="F10" i="2"/>
  <c r="F6" i="2"/>
  <c r="F12" i="2"/>
  <c r="F5" i="2"/>
  <c r="F7" i="2"/>
  <c r="F13" i="2"/>
  <c r="F2" i="2"/>
  <c r="F3" i="2"/>
  <c r="F11" i="2"/>
  <c r="F8" i="2"/>
  <c r="F9" i="2"/>
  <c r="M96" i="6"/>
  <c r="K96" i="6"/>
  <c r="L96" i="6"/>
  <c r="M90" i="6"/>
  <c r="K90" i="6"/>
  <c r="M84" i="6"/>
  <c r="M78" i="6"/>
  <c r="M72" i="6"/>
  <c r="L72" i="6"/>
  <c r="M66" i="6"/>
  <c r="K66" i="6"/>
  <c r="L66" i="6"/>
  <c r="M60" i="6"/>
  <c r="K60" i="6"/>
  <c r="L60" i="6"/>
  <c r="M54" i="6"/>
  <c r="K54" i="6"/>
  <c r="M48" i="6"/>
  <c r="L48" i="6"/>
  <c r="M42" i="6"/>
  <c r="L42" i="6"/>
  <c r="M36" i="6"/>
  <c r="M30" i="6"/>
  <c r="L30" i="6"/>
  <c r="K30" i="6"/>
  <c r="M24" i="6"/>
  <c r="K24" i="6"/>
  <c r="L24" i="6"/>
  <c r="M18" i="6"/>
  <c r="K18" i="6"/>
  <c r="M12" i="6"/>
  <c r="L12" i="6"/>
  <c r="M6" i="6"/>
  <c r="L6" i="6"/>
  <c r="D11" i="4"/>
  <c r="K84" i="6"/>
  <c r="K12" i="6"/>
  <c r="I7" i="6"/>
  <c r="I13" i="6"/>
  <c r="J13" i="6" s="1"/>
  <c r="I19" i="6"/>
  <c r="I25" i="6"/>
  <c r="J25" i="6" s="1"/>
  <c r="I31" i="6"/>
  <c r="J31" i="6" s="1"/>
  <c r="I37" i="6"/>
  <c r="J37" i="6" s="1"/>
  <c r="I43" i="6"/>
  <c r="J43" i="6" s="1"/>
  <c r="I49" i="6"/>
  <c r="J49" i="6" s="1"/>
  <c r="I55" i="6"/>
  <c r="J55" i="6" s="1"/>
  <c r="I61" i="6"/>
  <c r="J61" i="6" s="1"/>
  <c r="I67" i="6"/>
  <c r="J67" i="6" s="1"/>
  <c r="I73" i="6"/>
  <c r="J73" i="6" s="1"/>
  <c r="I79" i="6"/>
  <c r="J79" i="6" s="1"/>
  <c r="I85" i="6"/>
  <c r="J85" i="6" s="1"/>
  <c r="I91" i="6"/>
  <c r="J91" i="6" s="1"/>
  <c r="I97" i="6"/>
  <c r="J97" i="6" s="1"/>
  <c r="I4" i="6"/>
  <c r="E4" i="4" s="1"/>
  <c r="I11" i="6"/>
  <c r="J11" i="6" s="1"/>
  <c r="I18" i="6"/>
  <c r="J18" i="6" s="1"/>
  <c r="I26" i="6"/>
  <c r="J26" i="6" s="1"/>
  <c r="I33" i="6"/>
  <c r="J33" i="6" s="1"/>
  <c r="I40" i="6"/>
  <c r="J40" i="6" s="1"/>
  <c r="I47" i="6"/>
  <c r="J47" i="6" s="1"/>
  <c r="I54" i="6"/>
  <c r="J54" i="6" s="1"/>
  <c r="I62" i="6"/>
  <c r="J62" i="6" s="1"/>
  <c r="I69" i="6"/>
  <c r="J69" i="6" s="1"/>
  <c r="I76" i="6"/>
  <c r="J76" i="6" s="1"/>
  <c r="I83" i="6"/>
  <c r="J83" i="6" s="1"/>
  <c r="I5" i="6"/>
  <c r="I12" i="6"/>
  <c r="J12" i="6" s="1"/>
  <c r="I20" i="6"/>
  <c r="J20" i="6" s="1"/>
  <c r="I27" i="6"/>
  <c r="J27" i="6" s="1"/>
  <c r="I34" i="6"/>
  <c r="J34" i="6" s="1"/>
  <c r="I41" i="6"/>
  <c r="J41" i="6" s="1"/>
  <c r="I48" i="6"/>
  <c r="J48" i="6" s="1"/>
  <c r="I56" i="6"/>
  <c r="J56" i="6" s="1"/>
  <c r="I63" i="6"/>
  <c r="J63" i="6" s="1"/>
  <c r="I70" i="6"/>
  <c r="J70" i="6" s="1"/>
  <c r="I77" i="6"/>
  <c r="J77" i="6" s="1"/>
  <c r="I84" i="6"/>
  <c r="J84" i="6" s="1"/>
  <c r="I92" i="6"/>
  <c r="J92" i="6" s="1"/>
  <c r="I99" i="6"/>
  <c r="J99" i="6" s="1"/>
  <c r="M94" i="6"/>
  <c r="L94" i="6"/>
  <c r="K88" i="6"/>
  <c r="L88" i="6"/>
  <c r="M88" i="6"/>
  <c r="K82" i="6"/>
  <c r="L82" i="6"/>
  <c r="M76" i="6"/>
  <c r="K76" i="6"/>
  <c r="M70" i="6"/>
  <c r="M58" i="6"/>
  <c r="L58" i="6"/>
  <c r="K52" i="6"/>
  <c r="M52" i="6"/>
  <c r="L52" i="6"/>
  <c r="K46" i="6"/>
  <c r="M40" i="6"/>
  <c r="L40" i="6"/>
  <c r="K40" i="6"/>
  <c r="M34" i="6"/>
  <c r="L34" i="6"/>
  <c r="M28" i="6"/>
  <c r="M22" i="6"/>
  <c r="L22" i="6"/>
  <c r="M16" i="6"/>
  <c r="K16" i="6"/>
  <c r="L16" i="6"/>
  <c r="M10" i="6"/>
  <c r="K10" i="6"/>
  <c r="M4" i="6"/>
  <c r="L4" i="6"/>
  <c r="K4" i="6"/>
  <c r="D9" i="4"/>
  <c r="B12" i="1"/>
  <c r="F12" i="1"/>
  <c r="I94" i="6"/>
  <c r="J94" i="6" s="1"/>
  <c r="I86" i="6"/>
  <c r="J86" i="6" s="1"/>
  <c r="I74" i="6"/>
  <c r="J74" i="6" s="1"/>
  <c r="I64" i="6"/>
  <c r="J64" i="6" s="1"/>
  <c r="I52" i="6"/>
  <c r="J52" i="6" s="1"/>
  <c r="I42" i="6"/>
  <c r="J42" i="6" s="1"/>
  <c r="I30" i="6"/>
  <c r="J30" i="6" s="1"/>
  <c r="I21" i="6"/>
  <c r="J21" i="6" s="1"/>
  <c r="I9" i="6"/>
  <c r="J9" i="6" s="1"/>
  <c r="K92" i="6"/>
  <c r="K78" i="6"/>
  <c r="K64" i="6"/>
  <c r="K49" i="6"/>
  <c r="K6" i="6"/>
  <c r="L92" i="6"/>
  <c r="L46" i="6"/>
  <c r="L28" i="6"/>
  <c r="L10" i="6"/>
  <c r="K99" i="6"/>
  <c r="K93" i="6"/>
  <c r="K87" i="6"/>
  <c r="L87" i="6"/>
  <c r="M87" i="6"/>
  <c r="K81" i="6"/>
  <c r="L81" i="6"/>
  <c r="K75" i="6"/>
  <c r="L75" i="6"/>
  <c r="K69" i="6"/>
  <c r="M69" i="6"/>
  <c r="K63" i="6"/>
  <c r="K57" i="6"/>
  <c r="K51" i="6"/>
  <c r="M51" i="6"/>
  <c r="L51" i="6"/>
  <c r="K45" i="6"/>
  <c r="K39" i="6"/>
  <c r="M39" i="6"/>
  <c r="K33" i="6"/>
  <c r="L33" i="6"/>
  <c r="K27" i="6"/>
  <c r="M27" i="6"/>
  <c r="K21" i="6"/>
  <c r="K15" i="6"/>
  <c r="M15" i="6"/>
  <c r="L15" i="6"/>
  <c r="K9" i="6"/>
  <c r="K3" i="6"/>
  <c r="M3" i="6"/>
  <c r="D10" i="4"/>
  <c r="D13" i="4"/>
  <c r="I101" i="6"/>
  <c r="J101" i="6" s="1"/>
  <c r="I93" i="6"/>
  <c r="J93" i="6" s="1"/>
  <c r="I82" i="6"/>
  <c r="J82" i="6" s="1"/>
  <c r="I72" i="6"/>
  <c r="J72" i="6" s="1"/>
  <c r="I60" i="6"/>
  <c r="J60" i="6" s="1"/>
  <c r="I51" i="6"/>
  <c r="J51" i="6" s="1"/>
  <c r="I39" i="6"/>
  <c r="J39" i="6" s="1"/>
  <c r="I29" i="6"/>
  <c r="J29" i="6" s="1"/>
  <c r="I17" i="6"/>
  <c r="J17" i="6" s="1"/>
  <c r="I8" i="6"/>
  <c r="J8" i="6" s="1"/>
  <c r="K91" i="6"/>
  <c r="K62" i="6"/>
  <c r="K48" i="6"/>
  <c r="K34" i="6"/>
  <c r="L90" i="6"/>
  <c r="L76" i="6"/>
  <c r="L45" i="6"/>
  <c r="L27" i="6"/>
  <c r="L9" i="6"/>
  <c r="M33" i="6"/>
  <c r="M9" i="6"/>
  <c r="M98" i="6"/>
  <c r="M86" i="6"/>
  <c r="L80" i="6"/>
  <c r="K80" i="6"/>
  <c r="M80" i="6"/>
  <c r="L74" i="6"/>
  <c r="K74" i="6"/>
  <c r="M68" i="6"/>
  <c r="L68" i="6"/>
  <c r="K68" i="6"/>
  <c r="M62" i="6"/>
  <c r="L56" i="6"/>
  <c r="L50" i="6"/>
  <c r="M50" i="6"/>
  <c r="L44" i="6"/>
  <c r="K44" i="6"/>
  <c r="M44" i="6"/>
  <c r="L38" i="6"/>
  <c r="K38" i="6"/>
  <c r="L32" i="6"/>
  <c r="M32" i="6"/>
  <c r="K32" i="6"/>
  <c r="L26" i="6"/>
  <c r="L20" i="6"/>
  <c r="M20" i="6"/>
  <c r="L14" i="6"/>
  <c r="L8" i="6"/>
  <c r="K8" i="6"/>
  <c r="M8" i="6"/>
  <c r="F5" i="1"/>
  <c r="F7" i="1"/>
  <c r="F6" i="1"/>
  <c r="L2" i="6"/>
  <c r="K2" i="6"/>
  <c r="D12" i="4"/>
  <c r="I100" i="6"/>
  <c r="J100" i="6" s="1"/>
  <c r="I90" i="6"/>
  <c r="J90" i="6" s="1"/>
  <c r="I81" i="6"/>
  <c r="J81" i="6" s="1"/>
  <c r="I71" i="6"/>
  <c r="J71" i="6" s="1"/>
  <c r="I59" i="6"/>
  <c r="J59" i="6" s="1"/>
  <c r="I50" i="6"/>
  <c r="J50" i="6" s="1"/>
  <c r="I38" i="6"/>
  <c r="J38" i="6" s="1"/>
  <c r="I28" i="6"/>
  <c r="J28" i="6" s="1"/>
  <c r="I16" i="6"/>
  <c r="J16" i="6" s="1"/>
  <c r="I6" i="6"/>
  <c r="K86" i="6"/>
  <c r="K72" i="6"/>
  <c r="K58" i="6"/>
  <c r="K14" i="6"/>
  <c r="L100" i="6"/>
  <c r="L86" i="6"/>
  <c r="L57" i="6"/>
  <c r="L39" i="6"/>
  <c r="L21" i="6"/>
  <c r="L3" i="6"/>
  <c r="M26" i="6"/>
  <c r="M2" i="6"/>
  <c r="D15" i="4"/>
  <c r="C15" i="4"/>
  <c r="D14" i="4"/>
  <c r="C14" i="4"/>
  <c r="L97" i="6"/>
  <c r="M97" i="6"/>
  <c r="K97" i="6"/>
  <c r="L91" i="6"/>
  <c r="L85" i="6"/>
  <c r="L79" i="6"/>
  <c r="M79" i="6"/>
  <c r="L73" i="6"/>
  <c r="K73" i="6"/>
  <c r="L67" i="6"/>
  <c r="K67" i="6"/>
  <c r="L61" i="6"/>
  <c r="M61" i="6"/>
  <c r="K61" i="6"/>
  <c r="L55" i="6"/>
  <c r="L49" i="6"/>
  <c r="L43" i="6"/>
  <c r="M43" i="6"/>
  <c r="L37" i="6"/>
  <c r="K37" i="6"/>
  <c r="L31" i="6"/>
  <c r="M31" i="6"/>
  <c r="K31" i="6"/>
  <c r="L25" i="6"/>
  <c r="K25" i="6"/>
  <c r="L19" i="6"/>
  <c r="M19" i="6"/>
  <c r="L13" i="6"/>
  <c r="L7" i="6"/>
  <c r="M7" i="6"/>
  <c r="I98" i="6"/>
  <c r="J98" i="6" s="1"/>
  <c r="I89" i="6"/>
  <c r="J89" i="6" s="1"/>
  <c r="I80" i="6"/>
  <c r="J80" i="6" s="1"/>
  <c r="I68" i="6"/>
  <c r="J68" i="6" s="1"/>
  <c r="I58" i="6"/>
  <c r="J58" i="6" s="1"/>
  <c r="I46" i="6"/>
  <c r="J46" i="6" s="1"/>
  <c r="I36" i="6"/>
  <c r="J36" i="6" s="1"/>
  <c r="I24" i="6"/>
  <c r="J24" i="6" s="1"/>
  <c r="I15" i="6"/>
  <c r="J15" i="6" s="1"/>
  <c r="I3" i="6"/>
  <c r="J3" i="6" s="1"/>
  <c r="K100" i="6"/>
  <c r="K85" i="6"/>
  <c r="K56" i="6"/>
  <c r="K42" i="6"/>
  <c r="K28" i="6"/>
  <c r="K13" i="6"/>
  <c r="L99" i="6"/>
  <c r="L84" i="6"/>
  <c r="L70" i="6"/>
  <c r="L54" i="6"/>
  <c r="L36" i="6"/>
  <c r="L18" i="6"/>
  <c r="M82" i="6"/>
  <c r="M46" i="6"/>
  <c r="M25" i="6"/>
  <c r="D2" i="3"/>
  <c r="B2" i="3"/>
  <c r="C2" i="3"/>
  <c r="A3" i="3"/>
  <c r="D8" i="4"/>
  <c r="D6" i="4"/>
  <c r="D7" i="4"/>
  <c r="D4" i="4"/>
  <c r="C4" i="4"/>
  <c r="C7" i="4"/>
  <c r="C6" i="4"/>
  <c r="C5" i="4"/>
  <c r="D5" i="4"/>
  <c r="D3" i="4"/>
  <c r="D2" i="4"/>
  <c r="C2" i="4"/>
  <c r="C3" i="4"/>
  <c r="C8" i="2" l="1"/>
  <c r="G8" i="2" s="1"/>
  <c r="C12" i="2"/>
  <c r="G12" i="2" s="1"/>
  <c r="C4" i="2"/>
  <c r="C11" i="2"/>
  <c r="G11" i="2" s="1"/>
  <c r="C13" i="2"/>
  <c r="C7" i="2"/>
  <c r="G7" i="2" s="1"/>
  <c r="C9" i="2"/>
  <c r="G9" i="2" s="1"/>
  <c r="F6" i="4"/>
  <c r="C5" i="2"/>
  <c r="G5" i="2" s="1"/>
  <c r="C10" i="2"/>
  <c r="G10" i="2" s="1"/>
  <c r="E7" i="4"/>
  <c r="C6" i="2"/>
  <c r="G6" i="2" s="1"/>
  <c r="C3" i="2"/>
  <c r="G3" i="2" s="1"/>
  <c r="G4" i="2"/>
  <c r="E8" i="4"/>
  <c r="J5" i="6"/>
  <c r="E11" i="4"/>
  <c r="J4" i="6"/>
  <c r="E5" i="4"/>
  <c r="E14" i="4"/>
  <c r="E2" i="4"/>
  <c r="E15" i="4"/>
  <c r="E12" i="4"/>
  <c r="J6" i="6"/>
  <c r="F12" i="4" s="1"/>
  <c r="E10" i="4"/>
  <c r="J19" i="6"/>
  <c r="F10" i="4" s="1"/>
  <c r="C3" i="3"/>
  <c r="D3" i="3"/>
  <c r="B3" i="3"/>
  <c r="A4" i="3"/>
  <c r="B6" i="1"/>
  <c r="B7" i="1"/>
  <c r="E13" i="4"/>
  <c r="J7" i="6"/>
  <c r="F13" i="4" s="1"/>
  <c r="E3" i="4"/>
  <c r="E6" i="4"/>
  <c r="B5" i="1"/>
  <c r="F10" i="1"/>
  <c r="F8" i="1"/>
  <c r="B10" i="1" a="1"/>
  <c r="B10" i="1" s="1"/>
  <c r="F9" i="1"/>
  <c r="B8" i="1"/>
  <c r="E9" i="4"/>
  <c r="B9" i="1"/>
  <c r="J2" i="6"/>
  <c r="G2" i="2" l="1"/>
  <c r="B3" i="1"/>
  <c r="F3" i="1"/>
  <c r="G13" i="2"/>
  <c r="F9" i="4"/>
  <c r="F11" i="1"/>
  <c r="B11" i="1"/>
  <c r="F5" i="4"/>
  <c r="F2" i="4"/>
  <c r="F14" i="4"/>
  <c r="D4" i="3"/>
  <c r="B4" i="3"/>
  <c r="C4" i="3"/>
  <c r="A5" i="3"/>
  <c r="F15" i="4"/>
  <c r="F11" i="4"/>
  <c r="F3" i="4"/>
  <c r="F8" i="4"/>
  <c r="F7" i="4"/>
  <c r="F4" i="4"/>
  <c r="D5" i="3" l="1"/>
  <c r="C5" i="3"/>
  <c r="B5" i="3"/>
  <c r="A6" i="3"/>
  <c r="D6" i="3" l="1"/>
  <c r="C6" i="3"/>
  <c r="B6" i="3"/>
  <c r="A7" i="3"/>
  <c r="D7" i="3" l="1"/>
  <c r="C7" i="3"/>
  <c r="B7" i="3"/>
  <c r="A8" i="3"/>
  <c r="D8" i="3" l="1"/>
  <c r="B8" i="3"/>
  <c r="A9" i="3"/>
  <c r="C8" i="3"/>
  <c r="D9" i="3" l="1"/>
  <c r="C9" i="3"/>
  <c r="B9" i="3"/>
  <c r="A10" i="3"/>
  <c r="D10" i="3" l="1"/>
  <c r="B10" i="3"/>
  <c r="C10" i="3"/>
  <c r="A11" i="3"/>
  <c r="B11" i="3" l="1"/>
  <c r="C11" i="3"/>
  <c r="A12" i="3"/>
  <c r="D11" i="3"/>
  <c r="C12" i="3" l="1"/>
  <c r="A13" i="3"/>
  <c r="D12" i="3"/>
  <c r="B12" i="3"/>
  <c r="C13" i="3" l="1"/>
  <c r="D13" i="3"/>
  <c r="A14" i="3"/>
  <c r="B13" i="3"/>
  <c r="D14" i="3" l="1"/>
  <c r="C14" i="3"/>
  <c r="B14" i="3"/>
  <c r="A15" i="3"/>
  <c r="D15" i="3" l="1"/>
  <c r="C15" i="3"/>
  <c r="B15" i="3"/>
  <c r="A16" i="3"/>
  <c r="D16" i="3" l="1"/>
  <c r="B16" i="3"/>
  <c r="C16" i="3"/>
  <c r="A17" i="3"/>
  <c r="D17" i="3" l="1"/>
  <c r="B17" i="3"/>
  <c r="C17" i="3"/>
  <c r="A18" i="3"/>
  <c r="D18" i="3" l="1"/>
  <c r="C18" i="3"/>
  <c r="A19" i="3"/>
  <c r="B18" i="3"/>
  <c r="C19" i="3" l="1"/>
  <c r="D19" i="3"/>
  <c r="B19" i="3"/>
  <c r="A20" i="3"/>
  <c r="C20" i="3" l="1"/>
  <c r="A21" i="3"/>
  <c r="B20" i="3"/>
  <c r="D20" i="3"/>
  <c r="C21" i="3" l="1"/>
  <c r="D21" i="3"/>
  <c r="B21" i="3"/>
  <c r="A22" i="3"/>
  <c r="D22" i="3" l="1"/>
  <c r="B22" i="3"/>
  <c r="C22" i="3"/>
  <c r="A23" i="3"/>
  <c r="D23" i="3" l="1"/>
  <c r="B23" i="3"/>
  <c r="A24" i="3"/>
  <c r="C23" i="3"/>
  <c r="D24" i="3" l="1"/>
  <c r="B24" i="3"/>
  <c r="C24" i="3"/>
  <c r="A25" i="3"/>
  <c r="D25" i="3" l="1"/>
  <c r="C25" i="3"/>
  <c r="B25" i="3"/>
  <c r="A26" i="3"/>
  <c r="D26" i="3" l="1"/>
  <c r="C26" i="3"/>
  <c r="A27" i="3"/>
  <c r="B26" i="3"/>
  <c r="C27" i="3" l="1"/>
  <c r="D27" i="3"/>
  <c r="B27" i="3"/>
  <c r="A28" i="3"/>
  <c r="D28" i="3" l="1"/>
  <c r="B28" i="3"/>
  <c r="C28" i="3"/>
  <c r="A29" i="3"/>
  <c r="B29" i="3" l="1"/>
  <c r="D29" i="3"/>
  <c r="C29" i="3"/>
  <c r="A30" i="3"/>
  <c r="D30" i="3" l="1"/>
  <c r="A31" i="3"/>
  <c r="B30" i="3"/>
  <c r="C30" i="3"/>
  <c r="D31" i="3" l="1"/>
  <c r="B31" i="3"/>
  <c r="C31" i="3"/>
  <c r="A32" i="3"/>
  <c r="C32" i="3" l="1"/>
  <c r="B32" i="3"/>
  <c r="D32" i="3"/>
  <c r="A33" i="3"/>
  <c r="C33" i="3" l="1"/>
  <c r="A34" i="3"/>
  <c r="D33" i="3"/>
  <c r="B33" i="3"/>
  <c r="D34" i="3" l="1"/>
  <c r="C34" i="3"/>
  <c r="B34" i="3"/>
  <c r="A35" i="3"/>
  <c r="C35" i="3" l="1"/>
  <c r="B35" i="3"/>
  <c r="D35" i="3"/>
  <c r="A36" i="3"/>
  <c r="D36" i="3" l="1"/>
  <c r="C36" i="3"/>
  <c r="A37" i="3"/>
  <c r="B36" i="3"/>
  <c r="D37" i="3" l="1"/>
  <c r="B37" i="3"/>
  <c r="A38" i="3"/>
  <c r="C37" i="3"/>
  <c r="D38" i="3" l="1"/>
  <c r="C38" i="3"/>
  <c r="A39" i="3"/>
  <c r="B38" i="3"/>
  <c r="C39" i="3" l="1"/>
  <c r="D39" i="3"/>
  <c r="A40" i="3"/>
  <c r="B39" i="3"/>
  <c r="D40" i="3" l="1"/>
  <c r="B40" i="3"/>
  <c r="C40" i="3"/>
  <c r="A41" i="3"/>
  <c r="C41" i="3" l="1"/>
  <c r="B41" i="3"/>
  <c r="D41" i="3"/>
  <c r="A42" i="3"/>
  <c r="C42" i="3" l="1"/>
  <c r="B42" i="3"/>
  <c r="A43" i="3"/>
  <c r="D42" i="3"/>
  <c r="C43" i="3" l="1"/>
  <c r="D43" i="3"/>
  <c r="B43" i="3"/>
  <c r="A44" i="3"/>
  <c r="D44" i="3" l="1"/>
  <c r="C44" i="3"/>
  <c r="B44" i="3"/>
  <c r="A45" i="3"/>
  <c r="D45" i="3" l="1"/>
  <c r="C45" i="3"/>
  <c r="B45" i="3"/>
  <c r="A46" i="3"/>
  <c r="D46" i="3" l="1"/>
  <c r="B46" i="3"/>
  <c r="C46" i="3"/>
  <c r="A47" i="3"/>
  <c r="B47" i="3" l="1"/>
  <c r="C47" i="3"/>
  <c r="D47" i="3"/>
  <c r="A48" i="3"/>
  <c r="D48" i="3" l="1"/>
  <c r="C48" i="3"/>
  <c r="A49" i="3"/>
  <c r="B48" i="3"/>
  <c r="D49" i="3" l="1"/>
  <c r="C49" i="3"/>
  <c r="A50" i="3"/>
  <c r="B49" i="3"/>
  <c r="D50" i="3" l="1"/>
  <c r="C50" i="3"/>
  <c r="B50" i="3"/>
  <c r="A51" i="3"/>
  <c r="D51" i="3" l="1"/>
  <c r="C51" i="3"/>
  <c r="B51" i="3"/>
  <c r="A52" i="3"/>
  <c r="D52" i="3" l="1"/>
  <c r="B52" i="3"/>
  <c r="A53" i="3"/>
  <c r="C52" i="3"/>
  <c r="D53" i="3" l="1"/>
  <c r="C53" i="3"/>
  <c r="B53" i="3"/>
  <c r="A54" i="3"/>
  <c r="C54" i="3" l="1"/>
  <c r="A55" i="3"/>
  <c r="B54" i="3"/>
  <c r="D54" i="3"/>
  <c r="C55" i="3" l="1"/>
  <c r="A56" i="3"/>
  <c r="B55" i="3"/>
  <c r="D55" i="3"/>
  <c r="C56" i="3" l="1"/>
  <c r="D56" i="3"/>
  <c r="B56" i="3"/>
  <c r="A57" i="3"/>
  <c r="C57" i="3" l="1"/>
  <c r="D57" i="3"/>
  <c r="B57" i="3"/>
  <c r="A58" i="3"/>
  <c r="D58" i="3" l="1"/>
  <c r="C58" i="3"/>
  <c r="B58" i="3"/>
  <c r="A59" i="3"/>
  <c r="D59" i="3" l="1"/>
  <c r="B59" i="3"/>
  <c r="C59" i="3"/>
  <c r="A60" i="3"/>
  <c r="D60" i="3" l="1"/>
  <c r="A61" i="3"/>
  <c r="C60" i="3"/>
  <c r="B60" i="3"/>
  <c r="D61" i="3" l="1"/>
  <c r="C61" i="3"/>
  <c r="A62" i="3"/>
  <c r="B61" i="3"/>
  <c r="C62" i="3" l="1"/>
  <c r="D62" i="3"/>
  <c r="B62" i="3"/>
  <c r="A63" i="3"/>
  <c r="C63" i="3" l="1"/>
  <c r="B63" i="3"/>
  <c r="A64" i="3"/>
  <c r="D63" i="3"/>
  <c r="D64" i="3" l="1"/>
  <c r="C64" i="3"/>
  <c r="B64" i="3"/>
  <c r="A65" i="3"/>
  <c r="C65" i="3" l="1"/>
  <c r="D65" i="3"/>
  <c r="B65" i="3"/>
  <c r="A66" i="3"/>
  <c r="D66" i="3" l="1"/>
  <c r="A67" i="3"/>
  <c r="C66" i="3"/>
  <c r="B66" i="3"/>
  <c r="D67" i="3" l="1"/>
  <c r="C67" i="3"/>
  <c r="B67" i="3"/>
  <c r="A68" i="3"/>
  <c r="B68" i="3" l="1"/>
  <c r="D68" i="3"/>
  <c r="C68" i="3"/>
  <c r="A69" i="3"/>
  <c r="D69" i="3" l="1"/>
  <c r="C69" i="3"/>
  <c r="A70" i="3"/>
  <c r="B69" i="3"/>
  <c r="D70" i="3" l="1"/>
  <c r="C70" i="3"/>
  <c r="A71" i="3"/>
  <c r="B70" i="3"/>
  <c r="D71" i="3" l="1"/>
  <c r="C71" i="3"/>
  <c r="B71" i="3"/>
  <c r="A72" i="3"/>
  <c r="D72" i="3" l="1"/>
  <c r="A73" i="3"/>
  <c r="C72" i="3"/>
  <c r="B72" i="3"/>
  <c r="D73" i="3" l="1"/>
  <c r="C73" i="3"/>
  <c r="B73" i="3"/>
  <c r="A74" i="3"/>
  <c r="D74" i="3" l="1"/>
  <c r="C74" i="3"/>
  <c r="B74" i="3"/>
  <c r="A75" i="3"/>
  <c r="C75" i="3" l="1"/>
  <c r="D75" i="3"/>
  <c r="B75" i="3"/>
  <c r="A76" i="3"/>
  <c r="D76" i="3" l="1"/>
  <c r="C76" i="3"/>
  <c r="A77" i="3"/>
  <c r="B76" i="3"/>
  <c r="C77" i="3" l="1"/>
  <c r="B77" i="3"/>
  <c r="D77" i="3"/>
  <c r="A78" i="3"/>
  <c r="D78" i="3" l="1"/>
  <c r="A79" i="3"/>
  <c r="C78" i="3"/>
  <c r="B78" i="3"/>
  <c r="D79" i="3" l="1"/>
  <c r="C79" i="3"/>
  <c r="A80" i="3"/>
  <c r="B79" i="3"/>
  <c r="D80" i="3" l="1"/>
  <c r="B80" i="3"/>
  <c r="C80" i="3"/>
  <c r="A81" i="3"/>
  <c r="D81" i="3" l="1"/>
  <c r="C81" i="3"/>
  <c r="B81" i="3"/>
  <c r="A82" i="3"/>
  <c r="D82" i="3" l="1"/>
  <c r="C82" i="3"/>
  <c r="B82" i="3"/>
  <c r="A83" i="3"/>
  <c r="D83" i="3" l="1"/>
  <c r="C83" i="3"/>
  <c r="B83" i="3"/>
  <c r="A84" i="3"/>
  <c r="D84" i="3" l="1"/>
  <c r="A85" i="3"/>
  <c r="C84" i="3"/>
  <c r="B84" i="3"/>
  <c r="A86" i="3" l="1"/>
  <c r="B85" i="3"/>
  <c r="D85" i="3"/>
  <c r="C85" i="3"/>
  <c r="C86" i="3" l="1"/>
  <c r="D86" i="3"/>
  <c r="B86" i="3"/>
  <c r="A87" i="3"/>
  <c r="D87" i="3" l="1"/>
  <c r="C87" i="3"/>
  <c r="B87" i="3"/>
  <c r="A88" i="3"/>
  <c r="D88" i="3" l="1"/>
  <c r="C88" i="3"/>
  <c r="B88" i="3"/>
  <c r="A89" i="3"/>
  <c r="D89" i="3" l="1"/>
  <c r="C89" i="3"/>
  <c r="B89" i="3"/>
  <c r="A90" i="3"/>
  <c r="D90" i="3" l="1"/>
  <c r="A91" i="3"/>
  <c r="B90" i="3"/>
  <c r="C90" i="3"/>
  <c r="D91" i="3" l="1"/>
  <c r="C91" i="3"/>
  <c r="A92" i="3"/>
  <c r="B91" i="3"/>
  <c r="D92" i="3" l="1"/>
  <c r="C92" i="3"/>
  <c r="A93" i="3"/>
  <c r="B92" i="3"/>
  <c r="C93" i="3" l="1"/>
  <c r="D93" i="3"/>
  <c r="A94" i="3"/>
  <c r="B93" i="3"/>
  <c r="D94" i="3" l="1"/>
  <c r="C94" i="3"/>
  <c r="A95" i="3"/>
  <c r="B94" i="3"/>
  <c r="D95" i="3" l="1"/>
  <c r="C95" i="3"/>
  <c r="B95" i="3"/>
  <c r="A96" i="3"/>
  <c r="D96" i="3" l="1"/>
  <c r="A97" i="3"/>
  <c r="C96" i="3"/>
  <c r="B96" i="3"/>
  <c r="C97" i="3" l="1"/>
  <c r="B97" i="3"/>
  <c r="D97" i="3"/>
  <c r="A98" i="3"/>
  <c r="C98" i="3" l="1"/>
  <c r="A99" i="3"/>
  <c r="B98" i="3"/>
  <c r="D98" i="3"/>
  <c r="C99" i="3" l="1"/>
  <c r="D99" i="3"/>
  <c r="A100" i="3"/>
  <c r="B99" i="3"/>
  <c r="D100" i="3" l="1"/>
  <c r="C100" i="3"/>
  <c r="B100" i="3"/>
  <c r="A101" i="3"/>
  <c r="D101" i="3" l="1"/>
  <c r="C101" i="3"/>
  <c r="B101" i="3"/>
  <c r="A102" i="3"/>
  <c r="D102" i="3" l="1"/>
  <c r="A103" i="3"/>
  <c r="B102" i="3"/>
  <c r="C102" i="3"/>
  <c r="D103" i="3" l="1"/>
  <c r="C103" i="3"/>
  <c r="B103" i="3"/>
  <c r="A104" i="3"/>
  <c r="D104" i="3" l="1"/>
  <c r="C104" i="3"/>
  <c r="B104" i="3"/>
  <c r="A105" i="3"/>
  <c r="C105" i="3" l="1"/>
  <c r="D105" i="3"/>
  <c r="A106" i="3"/>
  <c r="B105" i="3"/>
  <c r="D106" i="3" l="1"/>
  <c r="C106" i="3"/>
  <c r="A107" i="3"/>
  <c r="B106" i="3"/>
  <c r="C107" i="3" l="1"/>
  <c r="B107" i="3"/>
  <c r="A108" i="3"/>
  <c r="D107" i="3"/>
  <c r="D108" i="3" l="1"/>
  <c r="A109" i="3"/>
  <c r="C108" i="3"/>
  <c r="B108" i="3"/>
  <c r="D109" i="3" l="1"/>
  <c r="C109" i="3"/>
  <c r="A110" i="3"/>
  <c r="B109" i="3"/>
  <c r="D110" i="3" l="1"/>
  <c r="C110" i="3"/>
  <c r="B110" i="3"/>
  <c r="A111" i="3"/>
  <c r="C111" i="3" l="1"/>
  <c r="D111" i="3"/>
  <c r="B111" i="3"/>
  <c r="A112" i="3"/>
  <c r="D112" i="3" l="1"/>
  <c r="C112" i="3"/>
  <c r="A113" i="3"/>
  <c r="B112" i="3"/>
  <c r="D113" i="3" l="1"/>
  <c r="C113" i="3"/>
  <c r="B113" i="3"/>
  <c r="A114" i="3"/>
  <c r="D114" i="3" l="1"/>
  <c r="A115" i="3"/>
  <c r="B114" i="3"/>
  <c r="C114" i="3"/>
  <c r="D115" i="3" l="1"/>
  <c r="C115" i="3"/>
  <c r="B115" i="3"/>
  <c r="A116" i="3"/>
  <c r="D116" i="3" l="1"/>
  <c r="C116" i="3"/>
  <c r="A117" i="3"/>
  <c r="B116" i="3"/>
  <c r="D117" i="3" l="1"/>
  <c r="C117" i="3"/>
  <c r="B117" i="3"/>
  <c r="A118" i="3"/>
  <c r="D118" i="3" l="1"/>
  <c r="C118" i="3"/>
  <c r="B118" i="3"/>
  <c r="A119" i="3"/>
  <c r="C119" i="3" l="1"/>
  <c r="B119" i="3"/>
  <c r="D119" i="3"/>
  <c r="A120" i="3"/>
  <c r="A121" i="3" l="1"/>
  <c r="C120" i="3"/>
  <c r="D120" i="3"/>
  <c r="B120" i="3"/>
  <c r="D121" i="3" l="1"/>
  <c r="C121" i="3"/>
  <c r="A122" i="3"/>
  <c r="B121" i="3"/>
  <c r="D122" i="3" l="1"/>
  <c r="C122" i="3"/>
  <c r="A123" i="3"/>
  <c r="B122" i="3"/>
  <c r="D123" i="3" l="1"/>
  <c r="C123" i="3"/>
  <c r="A124" i="3"/>
  <c r="B123" i="3"/>
  <c r="D124" i="3" l="1"/>
  <c r="C124" i="3"/>
  <c r="B124" i="3"/>
  <c r="A125" i="3"/>
  <c r="D125" i="3" l="1"/>
  <c r="C125" i="3"/>
  <c r="B125" i="3"/>
  <c r="A126" i="3"/>
  <c r="D126" i="3" l="1"/>
  <c r="A127" i="3"/>
  <c r="B126" i="3"/>
  <c r="C126" i="3"/>
  <c r="D127" i="3" l="1"/>
  <c r="C127" i="3"/>
  <c r="A128" i="3"/>
  <c r="B127" i="3"/>
  <c r="C128" i="3" l="1"/>
  <c r="A129" i="3"/>
  <c r="B128" i="3"/>
  <c r="D128" i="3"/>
  <c r="C129" i="3" l="1"/>
  <c r="D129" i="3"/>
  <c r="B129" i="3"/>
  <c r="A130" i="3"/>
  <c r="D130" i="3" l="1"/>
  <c r="C130" i="3"/>
  <c r="B130" i="3"/>
  <c r="A131" i="3"/>
  <c r="D131" i="3" l="1"/>
  <c r="C131" i="3"/>
  <c r="B131" i="3"/>
  <c r="A132" i="3"/>
  <c r="D132" i="3" l="1"/>
  <c r="A133" i="3"/>
  <c r="B132" i="3"/>
  <c r="C132" i="3"/>
  <c r="D133" i="3" l="1"/>
  <c r="B133" i="3"/>
  <c r="C133" i="3"/>
  <c r="A134" i="3"/>
  <c r="D134" i="3" l="1"/>
  <c r="C134" i="3"/>
  <c r="A135" i="3"/>
  <c r="B134" i="3"/>
  <c r="C135" i="3" l="1"/>
  <c r="D135" i="3"/>
  <c r="A136" i="3"/>
  <c r="B135" i="3"/>
  <c r="D136" i="3" l="1"/>
  <c r="C136" i="3"/>
  <c r="A137" i="3"/>
  <c r="B136" i="3"/>
  <c r="D137" i="3" l="1"/>
  <c r="C137" i="3"/>
  <c r="B137" i="3"/>
  <c r="A138" i="3"/>
  <c r="D138" i="3" l="1"/>
  <c r="A139" i="3"/>
  <c r="C138" i="3"/>
  <c r="B138" i="3"/>
  <c r="D139" i="3" l="1"/>
  <c r="C139" i="3"/>
  <c r="B139" i="3"/>
  <c r="A140" i="3"/>
  <c r="C140" i="3" l="1"/>
  <c r="B140" i="3"/>
  <c r="D140" i="3"/>
  <c r="A141" i="3"/>
  <c r="C141" i="3" l="1"/>
  <c r="A142" i="3"/>
  <c r="D141" i="3"/>
  <c r="B141" i="3"/>
  <c r="D142" i="3" l="1"/>
  <c r="C142" i="3"/>
  <c r="B142" i="3"/>
  <c r="A143" i="3"/>
  <c r="C143" i="3" l="1"/>
  <c r="D143" i="3"/>
  <c r="B143" i="3"/>
  <c r="A144" i="3"/>
  <c r="D144" i="3" l="1"/>
  <c r="A145" i="3"/>
  <c r="C144" i="3"/>
  <c r="B144" i="3"/>
  <c r="D145" i="3" l="1"/>
  <c r="C145" i="3"/>
  <c r="B145" i="3"/>
  <c r="A146" i="3"/>
  <c r="D146" i="3" l="1"/>
  <c r="C146" i="3"/>
  <c r="B146" i="3"/>
  <c r="A147" i="3"/>
  <c r="C147" i="3" l="1"/>
  <c r="D147" i="3"/>
  <c r="B147" i="3"/>
  <c r="A148" i="3"/>
  <c r="D148" i="3" l="1"/>
  <c r="C148" i="3"/>
  <c r="A149" i="3"/>
  <c r="B148" i="3"/>
  <c r="D149" i="3" l="1"/>
  <c r="C149" i="3"/>
  <c r="B149" i="3"/>
  <c r="A150" i="3"/>
  <c r="A151" i="3" l="1"/>
  <c r="B150" i="3"/>
  <c r="D150" i="3"/>
  <c r="C150" i="3"/>
  <c r="D151" i="3" l="1"/>
  <c r="C151" i="3"/>
  <c r="A152" i="3"/>
  <c r="B151" i="3"/>
  <c r="D152" i="3" l="1"/>
  <c r="C152" i="3"/>
  <c r="B152" i="3"/>
  <c r="A153" i="3"/>
  <c r="D153" i="3" l="1"/>
  <c r="C153" i="3"/>
  <c r="B153" i="3"/>
  <c r="A154" i="3"/>
  <c r="D154" i="3" l="1"/>
  <c r="C154" i="3"/>
  <c r="B154" i="3"/>
  <c r="A155" i="3"/>
  <c r="C155" i="3" l="1"/>
  <c r="D155" i="3"/>
  <c r="B155" i="3"/>
  <c r="A156" i="3"/>
  <c r="D156" i="3" l="1"/>
  <c r="A157" i="3"/>
  <c r="C156" i="3"/>
  <c r="B156" i="3"/>
  <c r="D157" i="3" l="1"/>
  <c r="B157" i="3"/>
  <c r="C157" i="3"/>
  <c r="A158" i="3"/>
  <c r="D158" i="3" l="1"/>
  <c r="C158" i="3"/>
  <c r="B158" i="3"/>
  <c r="A159" i="3"/>
  <c r="D159" i="3" l="1"/>
  <c r="C159" i="3"/>
  <c r="B159" i="3"/>
  <c r="A160" i="3"/>
  <c r="D160" i="3" l="1"/>
  <c r="C160" i="3"/>
  <c r="B160" i="3"/>
  <c r="A161" i="3"/>
  <c r="D161" i="3" l="1"/>
  <c r="C161" i="3"/>
  <c r="B161" i="3"/>
  <c r="A162" i="3"/>
  <c r="A163" i="3" l="1"/>
  <c r="D162" i="3"/>
  <c r="B162" i="3"/>
  <c r="C162" i="3"/>
  <c r="C163" i="3" l="1"/>
  <c r="A164" i="3"/>
  <c r="D163" i="3"/>
  <c r="B163" i="3"/>
  <c r="D164" i="3" l="1"/>
  <c r="C164" i="3"/>
  <c r="B164" i="3"/>
  <c r="A165" i="3"/>
  <c r="D165" i="3" l="1"/>
  <c r="C165" i="3"/>
  <c r="A166" i="3"/>
  <c r="B165" i="3"/>
  <c r="D166" i="3" l="1"/>
  <c r="C166" i="3"/>
  <c r="A167" i="3"/>
  <c r="B166" i="3"/>
  <c r="D167" i="3" l="1"/>
  <c r="C167" i="3"/>
  <c r="B167" i="3"/>
  <c r="A168" i="3"/>
  <c r="D168" i="3" l="1"/>
  <c r="A169" i="3"/>
  <c r="C168" i="3"/>
  <c r="B168" i="3"/>
  <c r="D169" i="3" l="1"/>
  <c r="C169" i="3"/>
  <c r="B169" i="3"/>
  <c r="A170" i="3"/>
  <c r="D170" i="3" l="1"/>
  <c r="C170" i="3"/>
  <c r="A171" i="3"/>
  <c r="B170" i="3"/>
  <c r="C171" i="3" l="1"/>
  <c r="B171" i="3"/>
  <c r="D171" i="3"/>
  <c r="A172" i="3"/>
  <c r="D172" i="3" l="1"/>
  <c r="C172" i="3"/>
  <c r="B172" i="3"/>
  <c r="A173" i="3"/>
  <c r="C173" i="3" l="1"/>
  <c r="D173" i="3"/>
  <c r="B173" i="3"/>
  <c r="A174" i="3"/>
  <c r="D174" i="3" l="1"/>
  <c r="A175" i="3"/>
  <c r="B174" i="3"/>
  <c r="C174" i="3"/>
  <c r="D175" i="3" l="1"/>
  <c r="C175" i="3"/>
  <c r="B175" i="3"/>
  <c r="A176" i="3"/>
  <c r="D176" i="3" l="1"/>
  <c r="C176" i="3"/>
  <c r="B176" i="3"/>
  <c r="A177" i="3"/>
  <c r="D177" i="3" l="1"/>
  <c r="C177" i="3"/>
  <c r="A178" i="3"/>
  <c r="B177" i="3"/>
  <c r="D178" i="3" l="1"/>
  <c r="C178" i="3"/>
  <c r="B178" i="3"/>
  <c r="A179" i="3"/>
  <c r="D179" i="3" l="1"/>
  <c r="C179" i="3"/>
  <c r="B179" i="3"/>
  <c r="A180" i="3"/>
  <c r="D180" i="3" l="1"/>
  <c r="A181" i="3"/>
  <c r="C180" i="3"/>
  <c r="B180" i="3"/>
  <c r="D181" i="3" l="1"/>
  <c r="A182" i="3"/>
  <c r="B181" i="3"/>
  <c r="C181" i="3"/>
  <c r="D182" i="3" l="1"/>
  <c r="C182" i="3"/>
  <c r="B182" i="3"/>
  <c r="A183" i="3"/>
  <c r="C183" i="3" l="1"/>
  <c r="B183" i="3"/>
  <c r="D183" i="3"/>
  <c r="A184" i="3"/>
  <c r="D184" i="3" l="1"/>
  <c r="C184" i="3"/>
  <c r="A185" i="3"/>
  <c r="B184" i="3"/>
  <c r="C185" i="3" l="1"/>
  <c r="B185" i="3"/>
  <c r="D185" i="3"/>
  <c r="A186" i="3"/>
  <c r="D186" i="3" l="1"/>
  <c r="A187" i="3"/>
  <c r="B186" i="3"/>
  <c r="C186" i="3"/>
  <c r="D187" i="3" l="1"/>
  <c r="C187" i="3"/>
  <c r="B187" i="3"/>
  <c r="A188" i="3"/>
  <c r="D188" i="3" l="1"/>
  <c r="C188" i="3"/>
  <c r="B188" i="3"/>
  <c r="A189" i="3"/>
  <c r="D189" i="3" l="1"/>
  <c r="C189" i="3"/>
  <c r="B189" i="3"/>
  <c r="A190" i="3"/>
  <c r="D190" i="3" l="1"/>
  <c r="C190" i="3"/>
  <c r="B190" i="3"/>
  <c r="A191" i="3"/>
  <c r="D191" i="3" l="1"/>
  <c r="C191" i="3"/>
  <c r="B191" i="3"/>
  <c r="A192" i="3"/>
  <c r="D192" i="3" l="1"/>
  <c r="A193" i="3"/>
  <c r="C192" i="3"/>
  <c r="B192" i="3"/>
  <c r="C193" i="3" l="1"/>
  <c r="B193" i="3"/>
  <c r="A194" i="3"/>
  <c r="D193" i="3"/>
  <c r="C194" i="3" l="1"/>
  <c r="D194" i="3"/>
  <c r="B194" i="3"/>
  <c r="A195" i="3"/>
  <c r="D195" i="3" l="1"/>
  <c r="C195" i="3"/>
  <c r="B195" i="3"/>
  <c r="A196" i="3"/>
  <c r="D196" i="3" l="1"/>
  <c r="C196" i="3"/>
  <c r="B196" i="3"/>
  <c r="A197" i="3"/>
  <c r="D197" i="3" l="1"/>
  <c r="C197" i="3"/>
  <c r="B197" i="3"/>
  <c r="A198" i="3"/>
  <c r="D198" i="3" l="1"/>
  <c r="A199" i="3"/>
  <c r="B198" i="3"/>
  <c r="C198" i="3"/>
  <c r="D199" i="3" l="1"/>
  <c r="C199" i="3"/>
  <c r="A200" i="3"/>
  <c r="B199" i="3"/>
  <c r="D200" i="3" l="1"/>
  <c r="C200" i="3"/>
  <c r="B200" i="3"/>
  <c r="A201" i="3"/>
  <c r="C201" i="3" l="1"/>
  <c r="D201" i="3"/>
  <c r="B201" i="3"/>
  <c r="A202" i="3"/>
  <c r="D202" i="3" l="1"/>
  <c r="C202" i="3"/>
  <c r="B202" i="3"/>
  <c r="A203" i="3"/>
  <c r="D203" i="3" l="1"/>
  <c r="C203" i="3"/>
  <c r="B203" i="3"/>
  <c r="A204" i="3"/>
  <c r="D204" i="3" l="1"/>
  <c r="A205" i="3"/>
  <c r="B204" i="3"/>
  <c r="C204" i="3"/>
  <c r="D205" i="3" l="1"/>
  <c r="B205" i="3"/>
  <c r="C205" i="3"/>
  <c r="A206" i="3"/>
  <c r="C206" i="3" l="1"/>
  <c r="A207" i="3"/>
  <c r="D206" i="3"/>
  <c r="B206" i="3"/>
  <c r="C207" i="3" l="1"/>
  <c r="D207" i="3"/>
  <c r="B207" i="3"/>
  <c r="A208" i="3"/>
  <c r="D208" i="3" l="1"/>
  <c r="C208" i="3"/>
  <c r="A209" i="3"/>
  <c r="B208" i="3"/>
  <c r="D209" i="3" l="1"/>
  <c r="C209" i="3"/>
  <c r="B209" i="3"/>
  <c r="A210" i="3"/>
  <c r="D210" i="3" l="1"/>
  <c r="A211" i="3"/>
  <c r="C210" i="3"/>
  <c r="B210" i="3"/>
  <c r="D211" i="3" l="1"/>
  <c r="C211" i="3"/>
  <c r="B211" i="3"/>
  <c r="A212" i="3"/>
  <c r="D212" i="3" l="1"/>
  <c r="C212" i="3"/>
  <c r="B212" i="3"/>
  <c r="A213" i="3"/>
  <c r="C213" i="3" l="1"/>
  <c r="D213" i="3"/>
  <c r="A214" i="3"/>
  <c r="B213" i="3"/>
  <c r="D214" i="3" l="1"/>
  <c r="C214" i="3"/>
  <c r="B214" i="3"/>
  <c r="A215" i="3"/>
  <c r="B215" i="3" l="1"/>
  <c r="C215" i="3"/>
  <c r="A216" i="3"/>
  <c r="D215" i="3"/>
  <c r="D216" i="3" l="1"/>
  <c r="A217" i="3"/>
  <c r="C216" i="3"/>
  <c r="B216" i="3"/>
  <c r="D217" i="3" l="1"/>
  <c r="C217" i="3"/>
  <c r="B217" i="3"/>
  <c r="A218" i="3"/>
  <c r="D218" i="3" l="1"/>
  <c r="B218" i="3"/>
  <c r="C218" i="3"/>
  <c r="A219" i="3"/>
  <c r="C219" i="3" l="1"/>
  <c r="D219" i="3"/>
  <c r="B219" i="3"/>
  <c r="A220" i="3"/>
  <c r="D220" i="3" l="1"/>
  <c r="C220" i="3"/>
  <c r="A221" i="3"/>
  <c r="B220" i="3"/>
  <c r="D221" i="3" l="1"/>
  <c r="C221" i="3"/>
  <c r="B221" i="3"/>
  <c r="A222" i="3"/>
  <c r="D222" i="3" l="1"/>
  <c r="C222" i="3"/>
  <c r="A223" i="3"/>
  <c r="B222" i="3"/>
  <c r="D223" i="3" l="1"/>
  <c r="C223" i="3"/>
  <c r="A224" i="3"/>
  <c r="B223" i="3"/>
  <c r="D224" i="3" l="1"/>
  <c r="A225" i="3"/>
  <c r="C224" i="3"/>
  <c r="B224" i="3"/>
  <c r="D225" i="3" l="1"/>
  <c r="C225" i="3"/>
  <c r="B225" i="3"/>
  <c r="A226" i="3"/>
  <c r="D226" i="3" l="1"/>
  <c r="C226" i="3"/>
  <c r="B226" i="3"/>
  <c r="A227" i="3"/>
  <c r="C227" i="3" l="1"/>
  <c r="B227" i="3"/>
  <c r="A228" i="3"/>
  <c r="D227" i="3"/>
  <c r="A229" i="3" l="1"/>
  <c r="D228" i="3"/>
  <c r="C228" i="3"/>
  <c r="B228" i="3"/>
  <c r="D229" i="3" l="1"/>
  <c r="C229" i="3"/>
  <c r="B229" i="3"/>
  <c r="A230" i="3"/>
  <c r="D230" i="3" l="1"/>
  <c r="C230" i="3"/>
  <c r="B230" i="3"/>
  <c r="A231" i="3"/>
  <c r="D231" i="3" l="1"/>
  <c r="C231" i="3"/>
  <c r="B231" i="3"/>
  <c r="A232" i="3"/>
  <c r="D232" i="3" l="1"/>
  <c r="C232" i="3"/>
  <c r="B232" i="3"/>
  <c r="A233" i="3"/>
  <c r="D233" i="3" l="1"/>
  <c r="B233" i="3"/>
  <c r="C233" i="3"/>
  <c r="A234" i="3"/>
  <c r="D234" i="3" l="1"/>
  <c r="A235" i="3"/>
  <c r="C234" i="3"/>
  <c r="B234" i="3"/>
  <c r="D235" i="3" l="1"/>
  <c r="C235" i="3"/>
  <c r="A236" i="3"/>
  <c r="B235" i="3"/>
  <c r="B236" i="3" l="1"/>
  <c r="D236" i="3"/>
  <c r="A237" i="3"/>
  <c r="C236" i="3"/>
  <c r="C237" i="3" l="1"/>
  <c r="D237" i="3"/>
  <c r="A238" i="3"/>
  <c r="B237" i="3"/>
  <c r="D238" i="3" l="1"/>
  <c r="C238" i="3"/>
  <c r="A239" i="3"/>
  <c r="B238" i="3"/>
  <c r="D239" i="3" l="1"/>
  <c r="C239" i="3"/>
  <c r="B239" i="3"/>
  <c r="A240" i="3"/>
  <c r="D240" i="3" l="1"/>
  <c r="C240" i="3"/>
  <c r="A241" i="3"/>
  <c r="B240" i="3"/>
  <c r="D241" i="3" l="1"/>
  <c r="B241" i="3"/>
  <c r="C241" i="3"/>
  <c r="A242" i="3"/>
  <c r="D242" i="3" l="1"/>
  <c r="A243" i="3"/>
  <c r="C242" i="3"/>
  <c r="B242" i="3"/>
  <c r="C243" i="3" l="1"/>
  <c r="D243" i="3"/>
  <c r="B243" i="3"/>
  <c r="A244" i="3"/>
  <c r="D244" i="3" l="1"/>
  <c r="C244" i="3"/>
  <c r="B244" i="3"/>
  <c r="A245" i="3"/>
  <c r="D245" i="3" l="1"/>
  <c r="C245" i="3"/>
  <c r="B245" i="3"/>
  <c r="A246" i="3"/>
  <c r="D246" i="3" l="1"/>
  <c r="A247" i="3"/>
  <c r="C246" i="3"/>
  <c r="B246" i="3"/>
  <c r="D247" i="3" l="1"/>
  <c r="C247" i="3"/>
  <c r="B247" i="3"/>
  <c r="A248" i="3"/>
  <c r="C248" i="3" l="1"/>
  <c r="D248" i="3"/>
  <c r="B248" i="3"/>
  <c r="A249" i="3"/>
  <c r="C249" i="3" l="1"/>
  <c r="A250" i="3"/>
  <c r="D249" i="3"/>
  <c r="B249" i="3"/>
  <c r="D250" i="3" l="1"/>
  <c r="C250" i="3"/>
  <c r="B250" i="3"/>
  <c r="A251" i="3"/>
  <c r="D251" i="3" l="1"/>
  <c r="B251" i="3"/>
  <c r="C251" i="3"/>
  <c r="A252" i="3"/>
  <c r="D252" i="3" l="1"/>
  <c r="A253" i="3"/>
  <c r="C252" i="3"/>
  <c r="B252" i="3"/>
  <c r="D253" i="3" l="1"/>
  <c r="C253" i="3"/>
  <c r="A254" i="3"/>
  <c r="B253" i="3"/>
  <c r="D254" i="3" l="1"/>
  <c r="B254" i="3"/>
  <c r="C254" i="3"/>
  <c r="A255" i="3"/>
  <c r="C255" i="3" l="1"/>
  <c r="D255" i="3"/>
  <c r="B255" i="3"/>
  <c r="A256" i="3"/>
  <c r="D256" i="3" l="1"/>
  <c r="C256" i="3"/>
  <c r="A257" i="3"/>
  <c r="B256" i="3"/>
  <c r="D257" i="3" l="1"/>
  <c r="C257" i="3"/>
  <c r="B257" i="3"/>
  <c r="A258" i="3"/>
  <c r="C258" i="3" l="1"/>
  <c r="A259" i="3"/>
  <c r="B258" i="3"/>
  <c r="D258" i="3"/>
  <c r="D259" i="3" l="1"/>
  <c r="C259" i="3"/>
  <c r="B259" i="3"/>
  <c r="A260" i="3"/>
  <c r="D260" i="3" l="1"/>
  <c r="B260" i="3"/>
  <c r="A261" i="3"/>
  <c r="C260" i="3"/>
  <c r="D261" i="3" l="1"/>
  <c r="C261" i="3"/>
  <c r="B261" i="3"/>
  <c r="A262" i="3"/>
  <c r="D262" i="3" l="1"/>
  <c r="C262" i="3"/>
  <c r="B262" i="3"/>
  <c r="A263" i="3"/>
  <c r="C263" i="3" l="1"/>
  <c r="D263" i="3"/>
  <c r="B263" i="3"/>
  <c r="A264" i="3"/>
  <c r="D264" i="3" l="1"/>
  <c r="A265" i="3"/>
  <c r="B264" i="3"/>
  <c r="C264" i="3"/>
  <c r="D265" i="3" l="1"/>
  <c r="C265" i="3"/>
  <c r="B265" i="3"/>
  <c r="A266" i="3"/>
  <c r="D266" i="3" l="1"/>
  <c r="C266" i="3"/>
  <c r="B266" i="3"/>
  <c r="A267" i="3"/>
  <c r="D267" i="3" l="1"/>
  <c r="C267" i="3"/>
  <c r="A268" i="3"/>
  <c r="B267" i="3"/>
  <c r="D268" i="3" l="1"/>
  <c r="C268" i="3"/>
  <c r="B268" i="3"/>
  <c r="A269" i="3"/>
  <c r="D269" i="3" l="1"/>
  <c r="B269" i="3"/>
  <c r="C269" i="3"/>
  <c r="A270" i="3"/>
  <c r="A271" i="3" l="1"/>
  <c r="C270" i="3"/>
  <c r="B270" i="3"/>
  <c r="D270" i="3"/>
  <c r="C271" i="3" l="1"/>
  <c r="A272" i="3"/>
  <c r="B271" i="3"/>
  <c r="D271" i="3"/>
  <c r="D272" i="3" l="1"/>
  <c r="B272" i="3"/>
  <c r="C272" i="3"/>
  <c r="A273" i="3"/>
  <c r="D273" i="3" l="1"/>
  <c r="C273" i="3"/>
  <c r="B273" i="3"/>
  <c r="A274" i="3"/>
  <c r="D274" i="3" l="1"/>
  <c r="C274" i="3"/>
  <c r="B274" i="3"/>
  <c r="A275" i="3"/>
  <c r="D275" i="3" l="1"/>
  <c r="C275" i="3"/>
  <c r="B275" i="3"/>
  <c r="A276" i="3"/>
  <c r="D276" i="3" l="1"/>
  <c r="C276" i="3"/>
  <c r="A277" i="3"/>
  <c r="B276" i="3"/>
  <c r="D277" i="3" l="1"/>
  <c r="B277" i="3"/>
  <c r="C277" i="3"/>
  <c r="A278" i="3"/>
  <c r="D278" i="3" l="1"/>
  <c r="A279" i="3"/>
  <c r="C278" i="3"/>
  <c r="B278" i="3"/>
  <c r="C279" i="3" l="1"/>
  <c r="B279" i="3"/>
  <c r="A280" i="3"/>
  <c r="D279" i="3"/>
  <c r="D280" i="3" l="1"/>
  <c r="C280" i="3"/>
  <c r="B280" i="3"/>
  <c r="A281" i="3"/>
  <c r="C281" i="3" l="1"/>
  <c r="D281" i="3"/>
  <c r="B281" i="3"/>
  <c r="A282" i="3"/>
  <c r="D282" i="3" l="1"/>
  <c r="A283" i="3"/>
  <c r="C282" i="3"/>
  <c r="B282" i="3"/>
  <c r="D283" i="3" l="1"/>
  <c r="C283" i="3"/>
  <c r="B283" i="3"/>
  <c r="A284" i="3"/>
  <c r="D284" i="3" l="1"/>
  <c r="C284" i="3"/>
  <c r="B284" i="3"/>
  <c r="A285" i="3"/>
  <c r="D285" i="3" l="1"/>
  <c r="C285" i="3"/>
  <c r="A286" i="3"/>
  <c r="B285" i="3"/>
  <c r="D286" i="3" l="1"/>
  <c r="C286" i="3"/>
  <c r="B286" i="3"/>
  <c r="A287" i="3"/>
  <c r="D287" i="3" l="1"/>
  <c r="B287" i="3"/>
  <c r="C287" i="3"/>
  <c r="A288" i="3"/>
  <c r="D288" i="3" l="1"/>
  <c r="A289" i="3"/>
  <c r="C288" i="3"/>
  <c r="B288" i="3"/>
  <c r="D289" i="3" l="1"/>
  <c r="C289" i="3"/>
  <c r="B289" i="3"/>
  <c r="A290" i="3"/>
  <c r="D290" i="3" l="1"/>
  <c r="B290" i="3"/>
  <c r="C290" i="3"/>
  <c r="A291" i="3"/>
  <c r="C291" i="3" l="1"/>
  <c r="D291" i="3"/>
  <c r="B291" i="3"/>
  <c r="A292" i="3"/>
  <c r="C292" i="3" l="1"/>
  <c r="A293" i="3"/>
  <c r="D292" i="3"/>
  <c r="B292" i="3"/>
  <c r="D293" i="3" l="1"/>
  <c r="B293" i="3"/>
  <c r="C293" i="3"/>
  <c r="A294" i="3"/>
  <c r="D294" i="3" l="1"/>
  <c r="C294" i="3"/>
  <c r="A295" i="3"/>
  <c r="B294" i="3"/>
  <c r="D295" i="3" l="1"/>
  <c r="A296" i="3"/>
  <c r="C295" i="3"/>
  <c r="B295" i="3"/>
  <c r="D296" i="3" l="1"/>
  <c r="A297" i="3"/>
  <c r="C296" i="3"/>
  <c r="B296" i="3"/>
  <c r="C297" i="3" l="1"/>
  <c r="D297" i="3"/>
  <c r="B297" i="3"/>
  <c r="A298" i="3"/>
  <c r="C298" i="3" l="1"/>
  <c r="D298" i="3"/>
  <c r="B298" i="3"/>
  <c r="A299" i="3"/>
  <c r="C299" i="3" l="1"/>
  <c r="B299" i="3"/>
  <c r="A300" i="3"/>
  <c r="D299" i="3"/>
  <c r="D300" i="3" l="1"/>
  <c r="A301" i="3"/>
  <c r="C300" i="3"/>
  <c r="B300" i="3"/>
  <c r="D301" i="3" l="1"/>
  <c r="C301" i="3"/>
  <c r="B301" i="3"/>
  <c r="A302" i="3"/>
  <c r="D302" i="3" l="1"/>
  <c r="C302" i="3"/>
  <c r="B302" i="3"/>
  <c r="A303" i="3"/>
  <c r="C303" i="3" l="1"/>
  <c r="D303" i="3"/>
  <c r="B303" i="3"/>
  <c r="A304" i="3"/>
  <c r="D304" i="3" l="1"/>
  <c r="C304" i="3"/>
  <c r="B304" i="3"/>
  <c r="A305" i="3"/>
  <c r="D305" i="3" l="1"/>
  <c r="B305" i="3"/>
  <c r="C305" i="3"/>
  <c r="A306" i="3"/>
  <c r="D306" i="3" l="1"/>
  <c r="A307" i="3"/>
  <c r="B306" i="3"/>
  <c r="C306" i="3"/>
  <c r="D307" i="3" l="1"/>
  <c r="C307" i="3"/>
  <c r="A308" i="3"/>
  <c r="B307" i="3"/>
  <c r="D308" i="3" l="1"/>
  <c r="B308" i="3"/>
  <c r="C308" i="3"/>
  <c r="A309" i="3"/>
  <c r="C309" i="3" l="1"/>
  <c r="D309" i="3"/>
  <c r="A310" i="3"/>
  <c r="B309" i="3"/>
  <c r="C310" i="3" l="1"/>
  <c r="D310" i="3"/>
  <c r="A311" i="3"/>
  <c r="B310" i="3"/>
  <c r="D311" i="3" l="1"/>
  <c r="B311" i="3"/>
  <c r="C311" i="3"/>
  <c r="A312" i="3"/>
  <c r="D312" i="3" l="1"/>
  <c r="C312" i="3"/>
  <c r="A313" i="3"/>
  <c r="B312" i="3"/>
  <c r="D313" i="3" l="1"/>
  <c r="C313" i="3"/>
  <c r="B313" i="3"/>
  <c r="A314" i="3"/>
  <c r="D314" i="3" l="1"/>
  <c r="A315" i="3"/>
  <c r="C314" i="3"/>
  <c r="B314" i="3"/>
  <c r="C315" i="3" l="1"/>
  <c r="D315" i="3"/>
  <c r="B315" i="3"/>
  <c r="A316" i="3"/>
  <c r="C316" i="3" l="1"/>
  <c r="B316" i="3"/>
  <c r="D316" i="3"/>
  <c r="A317" i="3"/>
  <c r="C317" i="3" l="1"/>
  <c r="D317" i="3"/>
  <c r="B317" i="3"/>
  <c r="A318" i="3"/>
  <c r="D318" i="3" l="1"/>
  <c r="A319" i="3"/>
  <c r="B318" i="3"/>
  <c r="C318" i="3"/>
  <c r="D319" i="3" l="1"/>
  <c r="B319" i="3"/>
  <c r="C319" i="3"/>
  <c r="A320" i="3"/>
  <c r="D320" i="3" l="1"/>
  <c r="C320" i="3"/>
  <c r="B320" i="3"/>
  <c r="A321" i="3"/>
  <c r="C321" i="3" l="1"/>
  <c r="D321" i="3"/>
  <c r="A322" i="3"/>
  <c r="B321" i="3"/>
  <c r="C322" i="3" l="1"/>
  <c r="D322" i="3"/>
  <c r="B322" i="3"/>
  <c r="A323" i="3"/>
  <c r="B323" i="3" l="1"/>
  <c r="D323" i="3"/>
  <c r="C323" i="3"/>
  <c r="A324" i="3"/>
  <c r="D324" i="3" l="1"/>
  <c r="C324" i="3"/>
  <c r="A325" i="3"/>
  <c r="B324" i="3"/>
  <c r="D325" i="3" l="1"/>
  <c r="C325" i="3"/>
  <c r="A326" i="3"/>
  <c r="B325" i="3"/>
  <c r="D326" i="3" l="1"/>
  <c r="C326" i="3"/>
  <c r="B326" i="3"/>
  <c r="A327" i="3"/>
  <c r="D327" i="3" l="1"/>
  <c r="C327" i="3"/>
  <c r="A328" i="3"/>
  <c r="B327" i="3"/>
  <c r="D328" i="3" l="1"/>
  <c r="C328" i="3"/>
  <c r="A329" i="3"/>
  <c r="B328" i="3"/>
  <c r="D329" i="3" l="1"/>
  <c r="B329" i="3"/>
  <c r="C329" i="3"/>
  <c r="A330" i="3"/>
  <c r="C330" i="3" l="1"/>
  <c r="B330" i="3"/>
  <c r="D330" i="3"/>
  <c r="A331" i="3"/>
  <c r="D331" i="3" l="1"/>
  <c r="B331" i="3"/>
  <c r="C331" i="3"/>
  <c r="A332" i="3"/>
  <c r="D332" i="3" l="1"/>
  <c r="C332" i="3"/>
  <c r="B332" i="3"/>
  <c r="A333" i="3"/>
  <c r="C333" i="3" l="1"/>
  <c r="D333" i="3"/>
  <c r="B333" i="3"/>
  <c r="A334" i="3"/>
  <c r="D334" i="3" l="1"/>
  <c r="C334" i="3"/>
  <c r="B334" i="3"/>
  <c r="A335" i="3"/>
  <c r="D335" i="3" l="1"/>
  <c r="C335" i="3"/>
  <c r="B335" i="3"/>
  <c r="A336" i="3"/>
  <c r="D336" i="3" l="1"/>
  <c r="C336" i="3"/>
  <c r="B336" i="3"/>
  <c r="A337" i="3"/>
  <c r="D337" i="3" l="1"/>
  <c r="B337" i="3"/>
  <c r="C337" i="3"/>
  <c r="A338" i="3"/>
  <c r="D338" i="3" l="1"/>
  <c r="C338" i="3"/>
  <c r="B338" i="3"/>
  <c r="A339" i="3"/>
  <c r="C339" i="3" l="1"/>
  <c r="A340" i="3"/>
  <c r="B339" i="3"/>
  <c r="D339" i="3"/>
  <c r="C340" i="3" l="1"/>
  <c r="D340" i="3"/>
  <c r="B340" i="3"/>
  <c r="A341" i="3"/>
  <c r="D341" i="3" l="1"/>
  <c r="B341" i="3"/>
  <c r="C341" i="3"/>
  <c r="A342" i="3"/>
  <c r="D342" i="3" l="1"/>
  <c r="C342" i="3"/>
  <c r="B342" i="3"/>
  <c r="A343" i="3"/>
  <c r="D343" i="3" l="1"/>
  <c r="C343" i="3"/>
  <c r="A344" i="3"/>
  <c r="B343" i="3"/>
  <c r="D344" i="3" l="1"/>
  <c r="B344" i="3"/>
  <c r="C344" i="3"/>
  <c r="A345" i="3"/>
  <c r="C345" i="3" l="1"/>
  <c r="A346" i="3"/>
  <c r="B345" i="3"/>
  <c r="D345" i="3"/>
  <c r="C346" i="3" l="1"/>
  <c r="D346" i="3"/>
  <c r="B346" i="3"/>
  <c r="A347" i="3"/>
  <c r="D347" i="3" l="1"/>
  <c r="B347" i="3"/>
  <c r="C347" i="3"/>
  <c r="A348" i="3"/>
  <c r="D348" i="3" l="1"/>
  <c r="C348" i="3"/>
  <c r="B348" i="3"/>
  <c r="A349" i="3"/>
  <c r="D349" i="3" l="1"/>
  <c r="B349" i="3"/>
  <c r="A350" i="3"/>
  <c r="C349" i="3"/>
  <c r="D350" i="3" l="1"/>
  <c r="B350" i="3"/>
  <c r="A351" i="3"/>
  <c r="C350" i="3"/>
  <c r="C351" i="3" l="1"/>
  <c r="D351" i="3"/>
  <c r="A352" i="3"/>
  <c r="B351" i="3"/>
  <c r="C352" i="3" l="1"/>
  <c r="D352" i="3"/>
  <c r="B352" i="3"/>
  <c r="A353" i="3"/>
  <c r="C353" i="3" l="1"/>
  <c r="B353" i="3"/>
  <c r="D353" i="3"/>
  <c r="A354" i="3"/>
  <c r="D354" i="3" l="1"/>
  <c r="C354" i="3"/>
  <c r="A355" i="3"/>
  <c r="B354" i="3"/>
  <c r="D355" i="3" l="1"/>
  <c r="B355" i="3"/>
  <c r="C355" i="3"/>
  <c r="A356" i="3"/>
  <c r="D356" i="3" l="1"/>
  <c r="C356" i="3"/>
  <c r="B356" i="3"/>
  <c r="A357" i="3"/>
  <c r="C357" i="3" l="1"/>
  <c r="D357" i="3"/>
  <c r="A358" i="3"/>
  <c r="B357" i="3"/>
  <c r="C358" i="3" l="1"/>
  <c r="D358" i="3"/>
  <c r="B358" i="3"/>
  <c r="A359" i="3"/>
  <c r="B359" i="3" l="1"/>
  <c r="D359" i="3"/>
  <c r="A360" i="3"/>
  <c r="C359" i="3"/>
  <c r="D360" i="3" l="1"/>
  <c r="C360" i="3"/>
  <c r="B360" i="3"/>
  <c r="A361" i="3"/>
  <c r="C361" i="3" l="1"/>
  <c r="D361" i="3"/>
  <c r="B361" i="3"/>
  <c r="A362" i="3"/>
  <c r="D362" i="3" l="1"/>
  <c r="B362" i="3"/>
  <c r="C362" i="3"/>
  <c r="A363" i="3"/>
  <c r="D363" i="3" l="1"/>
  <c r="C363" i="3"/>
  <c r="A364" i="3"/>
  <c r="B363" i="3"/>
  <c r="D364" i="3" l="1"/>
  <c r="C364" i="3"/>
  <c r="A365" i="3"/>
  <c r="B364" i="3"/>
  <c r="D365" i="3" l="1"/>
  <c r="B365" i="3"/>
  <c r="C365" i="3"/>
  <c r="A366" i="3"/>
  <c r="C366" i="3" l="1"/>
  <c r="D366" i="3"/>
  <c r="B366" i="3"/>
  <c r="F2" i="1" l="1"/>
  <c r="D7" i="2"/>
  <c r="E7" i="2" s="1"/>
  <c r="D2" i="2"/>
  <c r="E2" i="2" s="1"/>
  <c r="D4" i="2"/>
  <c r="E4" i="2" s="1"/>
  <c r="D9" i="2"/>
  <c r="E9" i="2" s="1"/>
  <c r="D6" i="2"/>
  <c r="E6" i="2" s="1"/>
  <c r="D12" i="2"/>
  <c r="E12" i="2" s="1"/>
  <c r="D13" i="2"/>
  <c r="E13" i="2" s="1"/>
  <c r="D8" i="2"/>
  <c r="E8" i="2" s="1"/>
  <c r="D3" i="2"/>
  <c r="E3" i="2" s="1"/>
  <c r="D10" i="2"/>
  <c r="E10" i="2" s="1"/>
  <c r="D11" i="2"/>
  <c r="E11" i="2" s="1"/>
  <c r="D5" i="2"/>
  <c r="E5" i="2" s="1"/>
  <c r="F13" i="1"/>
  <c r="B13" i="1"/>
  <c r="B2" i="1"/>
  <c r="B4" i="1" l="1"/>
  <c r="F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<sst xmlns="http://schemas.openxmlformats.org/spreadsheetml/2006/main" count="309" uniqueCount="183">
  <si>
    <t>ItemID</t>
  </si>
  <si>
    <t>Price</t>
  </si>
  <si>
    <t>UserID</t>
  </si>
  <si>
    <t>Name</t>
  </si>
  <si>
    <t>Country</t>
  </si>
  <si>
    <t>Age</t>
  </si>
  <si>
    <t>Gender</t>
  </si>
  <si>
    <t>UserDate</t>
  </si>
  <si>
    <t>InstallDay</t>
  </si>
  <si>
    <t>Sessions</t>
  </si>
  <si>
    <t>Revenue</t>
  </si>
  <si>
    <t>Payer</t>
  </si>
  <si>
    <t>D1</t>
  </si>
  <si>
    <t>D3</t>
  </si>
  <si>
    <t>D7</t>
  </si>
  <si>
    <t>GenderGroup</t>
  </si>
  <si>
    <t>AgeGroup</t>
  </si>
  <si>
    <t>StartPeriod</t>
  </si>
  <si>
    <t>Isyssra</t>
  </si>
  <si>
    <t>Costa Rica</t>
  </si>
  <si>
    <t>Xomirin</t>
  </si>
  <si>
    <t>Poresewen</t>
  </si>
  <si>
    <t>Mauritius</t>
  </si>
  <si>
    <t>Poraldamina</t>
  </si>
  <si>
    <t>Austria</t>
  </si>
  <si>
    <t>Betheldalle</t>
  </si>
  <si>
    <t>Poland</t>
  </si>
  <si>
    <t>Lisudarin</t>
  </si>
  <si>
    <t>Romania</t>
  </si>
  <si>
    <t>Islararin</t>
  </si>
  <si>
    <t>Aerithra</t>
  </si>
  <si>
    <t>Adotta</t>
  </si>
  <si>
    <t>Aryma</t>
  </si>
  <si>
    <t>Betharetta</t>
  </si>
  <si>
    <t>Betiwyn</t>
  </si>
  <si>
    <t>Eilininne</t>
  </si>
  <si>
    <t>Betissra</t>
  </si>
  <si>
    <t>Xirethra</t>
  </si>
  <si>
    <t>Xanadarin</t>
  </si>
  <si>
    <t>Poliriba</t>
  </si>
  <si>
    <t>Xanydalle</t>
  </si>
  <si>
    <t>Kenya</t>
  </si>
  <si>
    <t>Isluda</t>
  </si>
  <si>
    <t>Arawyn</t>
  </si>
  <si>
    <t>Gloribreda</t>
  </si>
  <si>
    <t>Bethymina</t>
  </si>
  <si>
    <t>Layith</t>
  </si>
  <si>
    <t>Xererenne</t>
  </si>
  <si>
    <t>Mayathra</t>
  </si>
  <si>
    <t>Ivesetta</t>
  </si>
  <si>
    <t>Eliressra</t>
  </si>
  <si>
    <t>Salilenor</t>
  </si>
  <si>
    <t>Emutha</t>
  </si>
  <si>
    <t>Emelita</t>
  </si>
  <si>
    <t>Eilinyna</t>
  </si>
  <si>
    <t>Eilinirena</t>
  </si>
  <si>
    <t>Voratha</t>
  </si>
  <si>
    <t>Eilinolle</t>
  </si>
  <si>
    <t>Polidhethra</t>
  </si>
  <si>
    <t>Porann</t>
  </si>
  <si>
    <t>Cyriledheta</t>
  </si>
  <si>
    <t>Bethinor</t>
  </si>
  <si>
    <t>Zubumima</t>
  </si>
  <si>
    <t>Neryrathra</t>
  </si>
  <si>
    <t>Zububeth</t>
  </si>
  <si>
    <t>Salelaith</t>
  </si>
  <si>
    <t>Glorylaith</t>
  </si>
  <si>
    <t>Mayyrin</t>
  </si>
  <si>
    <t>Cyruvena</t>
  </si>
  <si>
    <t>Emakira</t>
  </si>
  <si>
    <t>Cyrotha</t>
  </si>
  <si>
    <t>Isunn</t>
  </si>
  <si>
    <t>Glydavea</t>
  </si>
  <si>
    <t>Veludhemina</t>
  </si>
  <si>
    <t>Bethylle</t>
  </si>
  <si>
    <t>Velinn</t>
  </si>
  <si>
    <t>Adath</t>
  </si>
  <si>
    <t>Adakira</t>
  </si>
  <si>
    <t>Zubimira</t>
  </si>
  <si>
    <t>Emithra</t>
  </si>
  <si>
    <t>Silatha</t>
  </si>
  <si>
    <t>Glorewe</t>
  </si>
  <si>
    <t>Arith</t>
  </si>
  <si>
    <t>Eilinudhedhena</t>
  </si>
  <si>
    <t>Xanyvea</t>
  </si>
  <si>
    <t>Gluwe</t>
  </si>
  <si>
    <t>Porutira</t>
  </si>
  <si>
    <t>Polevena</t>
  </si>
  <si>
    <t>Glorabreth</t>
  </si>
  <si>
    <t>Goriarin</t>
  </si>
  <si>
    <t>Xanynor</t>
  </si>
  <si>
    <t>Emoriavena</t>
  </si>
  <si>
    <t>Silolralaith</t>
  </si>
  <si>
    <t>Mayoseyamira</t>
  </si>
  <si>
    <t>Layedhevea</t>
  </si>
  <si>
    <t>Ivita</t>
  </si>
  <si>
    <t>Xeririana</t>
  </si>
  <si>
    <t>Ivogana</t>
  </si>
  <si>
    <t>Mayilema</t>
  </si>
  <si>
    <t>Salyyana</t>
  </si>
  <si>
    <t>Eladarin</t>
  </si>
  <si>
    <t>Lisyriakira</t>
  </si>
  <si>
    <t>Glaba</t>
  </si>
  <si>
    <t>Emokira</t>
  </si>
  <si>
    <t>Ce'Namitta</t>
  </si>
  <si>
    <t>Bethema</t>
  </si>
  <si>
    <t>Glylessra</t>
  </si>
  <si>
    <t>Zubolrarin</t>
  </si>
  <si>
    <t>Nerenor</t>
  </si>
  <si>
    <t>Aruba</t>
  </si>
  <si>
    <t>Silena</t>
  </si>
  <si>
    <t>Layaba</t>
  </si>
  <si>
    <t>Adyrewyn</t>
  </si>
  <si>
    <t>Lisatira</t>
  </si>
  <si>
    <t>Porisekira</t>
  </si>
  <si>
    <t>Salylralle</t>
  </si>
  <si>
    <t>Glurinne</t>
  </si>
  <si>
    <t>Emurin</t>
  </si>
  <si>
    <t>Aeruriath</t>
  </si>
  <si>
    <t>Glorille</t>
  </si>
  <si>
    <t>Glorevena</t>
  </si>
  <si>
    <t>Eilinetta</t>
  </si>
  <si>
    <t>Cyrebreriabeth</t>
  </si>
  <si>
    <t>Zubura</t>
  </si>
  <si>
    <t>SessionID</t>
  </si>
  <si>
    <t>Start</t>
  </si>
  <si>
    <t>End</t>
  </si>
  <si>
    <t>Day</t>
  </si>
  <si>
    <t>Month</t>
  </si>
  <si>
    <t>Length (min)</t>
  </si>
  <si>
    <t>PurchaseID</t>
  </si>
  <si>
    <t>Date</t>
  </si>
  <si>
    <t>DAU</t>
  </si>
  <si>
    <t>MAU</t>
  </si>
  <si>
    <t>Average DAU</t>
  </si>
  <si>
    <t>Stickiness</t>
  </si>
  <si>
    <t>ARPU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</si>
  <si>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</si>
  <si>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</si>
  <si>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</si>
  <si>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</si>
  <si>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</si>
  <si>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</si>
  <si>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</si>
  <si>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</si>
  <si>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</si>
  <si>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</si>
  <si>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</si>
  <si>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</si>
  <si>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KPI</t>
  </si>
  <si>
    <t>Value</t>
  </si>
  <si>
    <t>n</t>
  </si>
  <si>
    <t>DAU (average players per day)</t>
  </si>
  <si>
    <t>MAU (average players per month)</t>
  </si>
  <si>
    <t>Stickiness (DAU / MAU)</t>
  </si>
  <si>
    <t>D1 retention</t>
  </si>
  <si>
    <t>D3 retention</t>
  </si>
  <si>
    <t>D7 retention</t>
  </si>
  <si>
    <t>Total revenue (EUR)</t>
  </si>
  <si>
    <t>ARPU (EUR)</t>
  </si>
  <si>
    <t>ARPPU (EUR)</t>
  </si>
  <si>
    <t>Paying players</t>
  </si>
  <si>
    <t>Sessions per player</t>
  </si>
  <si>
    <t>Sessions per day</t>
  </si>
  <si>
    <t>Session length (min)</t>
  </si>
  <si>
    <t>Dimension</t>
  </si>
  <si>
    <t>Group</t>
  </si>
  <si>
    <t>Players</t>
  </si>
  <si>
    <t>Avg sessions</t>
  </si>
  <si>
    <t>Avg revenue (EUR)</t>
  </si>
  <si>
    <t>A (&lt;0.5)</t>
  </si>
  <si>
    <t>B (&gt;=0.5)</t>
  </si>
  <si>
    <t>12-24</t>
  </si>
  <si>
    <t>25-44</t>
  </si>
  <si>
    <t>45-64</t>
  </si>
  <si>
    <t>65+</t>
  </si>
  <si>
    <t>Start period</t>
  </si>
  <si>
    <t>Jan-May</t>
  </si>
  <si>
    <t>Jun-Dec</t>
  </si>
  <si>
    <t>PlayedThisDay?</t>
  </si>
  <si>
    <t>PlayedThisMonth?</t>
  </si>
  <si>
    <t>DX</t>
  </si>
  <si>
    <t>&lt;- Number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</si>
</sst>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yyyy\-mm\-dd"/>
    <numFmt numFmtId="166" formatCode="0.0"/>
    <numFmt numFmtId="167" formatCode="0.0%"/>
    <numFmt numFmtId="168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0" fontId="0" fillId="0" borderId="0" xfId="0" quotePrefix="1"/>
    <xf numFmtId="9" fontId="0" fillId="0" borderId="0" xfId="0" applyNumberFormat="1"/>
    <xf numFmtId="168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RETENTION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cust"/>
            <c:noEndCap val="0"/>
            <c:plus>
              <c:numRef>
                <c:f>KPIs!$C$5:$C$7</c:f>
                <c:numCache>
                  <c:formatCode>General</c:formatCode>
                  <c:ptCount val="3"/>
                </c:numCache>
              </c:numRef>
            </c:plus>
            <c:minus>
              <c:numRef>
                <c:f>KPIs!$C$5:$C$7</c:f>
                <c:numCache>
                  <c:formatCode>General</c:formatCode>
                  <c:ptCount val="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KPIs!$A$5:$A$7</c:f>
              <c:strCache>
                <c:ptCount val="3"/>
                <c:pt idx="0">
                  <c:v>D1 retention</c:v>
                </c:pt>
                <c:pt idx="1">
                  <c:v>D3 retention</c:v>
                </c:pt>
                <c:pt idx="2">
                  <c:v>D7 retention</c:v>
                </c:pt>
              </c:strCache>
            </c:strRef>
          </c:cat>
          <c:val>
            <c:numRef>
              <c:f>KPIs!$B$5:$B$7</c:f>
              <c:numCache>
                <c:formatCode>0.0%</c:formatCode>
                <c:ptCount val="3"/>
                <c:pt idx="0">
                  <c:v>0.71</c:v>
                </c:pt>
                <c:pt idx="1">
                  <c:v>0.26</c:v>
                </c:pt>
                <c:pt idx="2">
                  <c:v>8.247422680412371E-2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54-4979-BF43-A717E6E0C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25563999"/>
        <c:axId val="1406600671"/>
      </c:barChart>
      <c:catAx>
        <c:axId val="152556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6600671"/>
        <c:crosses val="autoZero"/>
        <c:auto val="1"/>
        <c:lblAlgn val="ctr"/>
        <c:lblOffset val="100"/>
        <c:noMultiLvlLbl val="0"/>
      </c:catAx>
      <c:valAx>
        <c:axId val="140660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556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Monthly Active Users (MAU)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Monthly!$B$2:$B$13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Monthly!$C$2:$C$13</c:f>
              <c:numCache>
                <c:formatCode>General</c:formatCode>
                <c:ptCount val="12"/>
                <c:pt idx="0">
                  <c:v>9</c:v>
                </c:pt>
                <c:pt idx="1">
                  <c:v>11</c:v>
                </c:pt>
                <c:pt idx="2">
                  <c:v>8</c:v>
                </c:pt>
                <c:pt idx="3">
                  <c:v>10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7</c:v>
                </c:pt>
                <c:pt idx="8">
                  <c:v>7</c:v>
                </c:pt>
                <c:pt idx="9">
                  <c:v>2</c:v>
                </c:pt>
                <c:pt idx="10">
                  <c:v>12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83-454E-B900-DAE29DD07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5561215"/>
        <c:axId val="1406604031"/>
      </c:lineChart>
      <c:catAx>
        <c:axId val="152556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6604031"/>
        <c:crosses val="autoZero"/>
        <c:auto val="1"/>
        <c:lblAlgn val="ctr"/>
        <c:lblOffset val="100"/>
        <c:noMultiLvlLbl val="0"/>
      </c:catAx>
      <c:valAx>
        <c:axId val="1406604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556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Stickiness (DAU / MAU)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Monthly!$B$2:$B$13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Monthly!$E$2:$E$13</c:f>
              <c:numCache>
                <c:formatCode>0.0%</c:formatCode>
                <c:ptCount val="12"/>
                <c:pt idx="0">
                  <c:v>5.0179211469534052E-2</c:v>
                </c:pt>
                <c:pt idx="1">
                  <c:v>4.5454545454545456E-2</c:v>
                </c:pt>
                <c:pt idx="2">
                  <c:v>4.8387096774193547E-2</c:v>
                </c:pt>
                <c:pt idx="3">
                  <c:v>4.6666666666666669E-2</c:v>
                </c:pt>
                <c:pt idx="4">
                  <c:v>4.301075268817204E-2</c:v>
                </c:pt>
                <c:pt idx="5">
                  <c:v>0.13055555555555556</c:v>
                </c:pt>
                <c:pt idx="6">
                  <c:v>0.14623655913978492</c:v>
                </c:pt>
                <c:pt idx="7">
                  <c:v>7.3732718894009217E-2</c:v>
                </c:pt>
                <c:pt idx="8">
                  <c:v>0.10952380952380954</c:v>
                </c:pt>
                <c:pt idx="9">
                  <c:v>0.30645161290322581</c:v>
                </c:pt>
                <c:pt idx="10">
                  <c:v>0.11944444444444445</c:v>
                </c:pt>
                <c:pt idx="11">
                  <c:v>0.12580645161290321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44-4FA4-BFF1-FE22F0962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6720847"/>
        <c:axId val="1406601631"/>
      </c:lineChart>
      <c:catAx>
        <c:axId val="152672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6601631"/>
        <c:crosses val="autoZero"/>
        <c:auto val="1"/>
        <c:lblAlgn val="ctr"/>
        <c:lblOffset val="100"/>
        <c:noMultiLvlLbl val="0"/>
      </c:catAx>
      <c:valAx>
        <c:axId val="140660163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672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Daily Active Users (DAU)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Daily!$A$2:$A$366</c:f>
              <c:numCache>
                <c:formatCode>yyyy\-mm\-dd</c:formatCode>
                <c:ptCount val="365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  <c:pt idx="347">
                  <c:v>44909</c:v>
                </c:pt>
                <c:pt idx="348">
                  <c:v>44910</c:v>
                </c:pt>
                <c:pt idx="349">
                  <c:v>44911</c:v>
                </c:pt>
                <c:pt idx="350">
                  <c:v>44912</c:v>
                </c:pt>
                <c:pt idx="351">
                  <c:v>44913</c:v>
                </c:pt>
                <c:pt idx="352">
                  <c:v>44914</c:v>
                </c:pt>
                <c:pt idx="353">
                  <c:v>44915</c:v>
                </c:pt>
                <c:pt idx="354">
                  <c:v>44916</c:v>
                </c:pt>
                <c:pt idx="355">
                  <c:v>44917</c:v>
                </c:pt>
                <c:pt idx="356">
                  <c:v>44918</c:v>
                </c:pt>
                <c:pt idx="357">
                  <c:v>44919</c:v>
                </c:pt>
                <c:pt idx="358">
                  <c:v>44920</c:v>
                </c:pt>
                <c:pt idx="359">
                  <c:v>44921</c:v>
                </c:pt>
                <c:pt idx="360">
                  <c:v>44922</c:v>
                </c:pt>
                <c:pt idx="361">
                  <c:v>44923</c:v>
                </c:pt>
                <c:pt idx="362">
                  <c:v>44924</c:v>
                </c:pt>
                <c:pt idx="363">
                  <c:v>44925</c:v>
                </c:pt>
                <c:pt idx="364">
                  <c:v>44926</c:v>
                </c:pt>
              </c:numCache>
            </c:numRef>
          </c:cat>
          <c:val>
            <c:numRef>
              <c:f>Daily!$C$2:$C$366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2</c:v>
                </c:pt>
                <c:pt idx="114">
                  <c:v>1</c:v>
                </c:pt>
                <c:pt idx="115">
                  <c:v>0</c:v>
                </c:pt>
                <c:pt idx="116">
                  <c:v>2</c:v>
                </c:pt>
                <c:pt idx="117">
                  <c:v>1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2</c:v>
                </c:pt>
                <c:pt idx="162">
                  <c:v>3</c:v>
                </c:pt>
                <c:pt idx="163">
                  <c:v>2</c:v>
                </c:pt>
                <c:pt idx="164">
                  <c:v>3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2</c:v>
                </c:pt>
                <c:pt idx="176">
                  <c:v>3</c:v>
                </c:pt>
                <c:pt idx="177">
                  <c:v>3</c:v>
                </c:pt>
                <c:pt idx="178">
                  <c:v>2</c:v>
                </c:pt>
                <c:pt idx="179">
                  <c:v>3</c:v>
                </c:pt>
                <c:pt idx="180">
                  <c:v>3</c:v>
                </c:pt>
                <c:pt idx="181">
                  <c:v>2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2</c:v>
                </c:pt>
                <c:pt idx="186">
                  <c:v>1</c:v>
                </c:pt>
                <c:pt idx="187">
                  <c:v>2</c:v>
                </c:pt>
                <c:pt idx="188">
                  <c:v>4</c:v>
                </c:pt>
                <c:pt idx="189">
                  <c:v>6</c:v>
                </c:pt>
                <c:pt idx="190">
                  <c:v>4</c:v>
                </c:pt>
                <c:pt idx="191">
                  <c:v>4</c:v>
                </c:pt>
                <c:pt idx="192">
                  <c:v>3</c:v>
                </c:pt>
                <c:pt idx="193">
                  <c:v>3</c:v>
                </c:pt>
                <c:pt idx="194">
                  <c:v>2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2</c:v>
                </c:pt>
                <c:pt idx="199">
                  <c:v>2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2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2</c:v>
                </c:pt>
                <c:pt idx="209">
                  <c:v>2</c:v>
                </c:pt>
                <c:pt idx="210">
                  <c:v>1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2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3</c:v>
                </c:pt>
                <c:pt idx="269">
                  <c:v>3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2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3</c:v>
                </c:pt>
                <c:pt idx="324">
                  <c:v>4</c:v>
                </c:pt>
                <c:pt idx="325">
                  <c:v>4</c:v>
                </c:pt>
                <c:pt idx="326">
                  <c:v>3</c:v>
                </c:pt>
                <c:pt idx="327">
                  <c:v>2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1</c:v>
                </c:pt>
                <c:pt idx="332">
                  <c:v>2</c:v>
                </c:pt>
                <c:pt idx="333">
                  <c:v>3</c:v>
                </c:pt>
                <c:pt idx="334">
                  <c:v>3</c:v>
                </c:pt>
                <c:pt idx="335">
                  <c:v>2</c:v>
                </c:pt>
                <c:pt idx="336">
                  <c:v>3</c:v>
                </c:pt>
                <c:pt idx="337">
                  <c:v>2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2</c:v>
                </c:pt>
                <c:pt idx="347">
                  <c:v>2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1</c:v>
                </c:pt>
                <c:pt idx="359">
                  <c:v>3</c:v>
                </c:pt>
                <c:pt idx="360">
                  <c:v>2</c:v>
                </c:pt>
                <c:pt idx="361">
                  <c:v>3</c:v>
                </c:pt>
                <c:pt idx="362">
                  <c:v>2</c:v>
                </c:pt>
                <c:pt idx="363">
                  <c:v>2</c:v>
                </c:pt>
                <c:pt idx="36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B0-4753-A7A0-0568DE8B1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5564927"/>
        <c:axId val="1406611711"/>
      </c:lineChart>
      <c:dateAx>
        <c:axId val="1525564927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6611711"/>
        <c:crosses val="autoZero"/>
        <c:auto val="1"/>
        <c:lblOffset val="100"/>
        <c:baseTimeUnit val="days"/>
      </c:dateAx>
      <c:valAx>
        <c:axId val="1406611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556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AVERAGE SESSIONS</a:t>
            </a:r>
            <a:r>
              <a:rPr lang="es-ES" baseline="0"/>
              <a:t> PER PLAYER GROUPS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Groups!$B$2:$B$15</c:f>
              <c:strCache>
                <c:ptCount val="14"/>
                <c:pt idx="0">
                  <c:v>A (&lt;0.5)</c:v>
                </c:pt>
                <c:pt idx="1">
                  <c:v>B (&gt;=0.5)</c:v>
                </c:pt>
                <c:pt idx="2">
                  <c:v>12-24</c:v>
                </c:pt>
                <c:pt idx="3">
                  <c:v>25-44</c:v>
                </c:pt>
                <c:pt idx="4">
                  <c:v>45-64</c:v>
                </c:pt>
                <c:pt idx="5">
                  <c:v>65+</c:v>
                </c:pt>
                <c:pt idx="6">
                  <c:v>Austria</c:v>
                </c:pt>
                <c:pt idx="7">
                  <c:v>Costa Rica</c:v>
                </c:pt>
                <c:pt idx="8">
                  <c:v>Kenya</c:v>
                </c:pt>
                <c:pt idx="9">
                  <c:v>Mauritius</c:v>
                </c:pt>
                <c:pt idx="10">
                  <c:v>Poland</c:v>
                </c:pt>
                <c:pt idx="11">
                  <c:v>Romania</c:v>
                </c:pt>
                <c:pt idx="12">
                  <c:v>Jan-May</c:v>
                </c:pt>
                <c:pt idx="13">
                  <c:v>Jun-Dec</c:v>
                </c:pt>
              </c:strCache>
            </c:strRef>
          </c:cat>
          <c:val>
            <c:numRef>
              <c:f>Groups!$D$2:$D$15</c:f>
              <c:numCache>
                <c:formatCode>0.00</c:formatCode>
                <c:ptCount val="14"/>
                <c:pt idx="0">
                  <c:v>10.321428571428571</c:v>
                </c:pt>
                <c:pt idx="1">
                  <c:v>13.772727272727273</c:v>
                </c:pt>
                <c:pt idx="2">
                  <c:v>10.428571428571429</c:v>
                </c:pt>
                <c:pt idx="3">
                  <c:v>16.294117647058822</c:v>
                </c:pt>
                <c:pt idx="4">
                  <c:v>12.956521739130435</c:v>
                </c:pt>
                <c:pt idx="5">
                  <c:v>10</c:v>
                </c:pt>
                <c:pt idx="6">
                  <c:v>9.9411764705882355</c:v>
                </c:pt>
                <c:pt idx="7">
                  <c:v>9.9047619047619051</c:v>
                </c:pt>
                <c:pt idx="8">
                  <c:v>12.75</c:v>
                </c:pt>
                <c:pt idx="9">
                  <c:v>8.7894736842105257</c:v>
                </c:pt>
                <c:pt idx="10">
                  <c:v>19.600000000000001</c:v>
                </c:pt>
                <c:pt idx="11">
                  <c:v>9.7333333333333325</c:v>
                </c:pt>
                <c:pt idx="12">
                  <c:v>2.911111111111111</c:v>
                </c:pt>
                <c:pt idx="13">
                  <c:v>19.145454545454545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8F-481A-9B93-B4698FC1B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34007247"/>
        <c:axId val="1406601151"/>
      </c:barChart>
      <c:catAx>
        <c:axId val="153400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6601151"/>
        <c:crosses val="autoZero"/>
        <c:auto val="1"/>
        <c:lblAlgn val="ctr"/>
        <c:lblOffset val="100"/>
        <c:noMultiLvlLbl val="0"/>
      </c:catAx>
      <c:valAx>
        <c:axId val="140660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400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Revenue vs sessions per player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Users!$H$2:$H$101</c:f>
              <c:numCache>
                <c:formatCode>General</c:formatCode>
                <c:ptCount val="100"/>
                <c:pt idx="0">
                  <c:v>1</c:v>
                </c:pt>
                <c:pt idx="1">
                  <c:v>27</c:v>
                </c:pt>
                <c:pt idx="2">
                  <c:v>16</c:v>
                </c:pt>
                <c:pt idx="3">
                  <c:v>3</c:v>
                </c:pt>
                <c:pt idx="4">
                  <c:v>7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7</c:v>
                </c:pt>
                <c:pt idx="10">
                  <c:v>1</c:v>
                </c:pt>
                <c:pt idx="11">
                  <c:v>4</c:v>
                </c:pt>
                <c:pt idx="12">
                  <c:v>23</c:v>
                </c:pt>
                <c:pt idx="13">
                  <c:v>39</c:v>
                </c:pt>
                <c:pt idx="14">
                  <c:v>27</c:v>
                </c:pt>
                <c:pt idx="15">
                  <c:v>3</c:v>
                </c:pt>
                <c:pt idx="16">
                  <c:v>6</c:v>
                </c:pt>
                <c:pt idx="17">
                  <c:v>2</c:v>
                </c:pt>
                <c:pt idx="18">
                  <c:v>2</c:v>
                </c:pt>
                <c:pt idx="19">
                  <c:v>12</c:v>
                </c:pt>
                <c:pt idx="20">
                  <c:v>13</c:v>
                </c:pt>
                <c:pt idx="21">
                  <c:v>1</c:v>
                </c:pt>
                <c:pt idx="22">
                  <c:v>19</c:v>
                </c:pt>
                <c:pt idx="23">
                  <c:v>3</c:v>
                </c:pt>
                <c:pt idx="24">
                  <c:v>17</c:v>
                </c:pt>
                <c:pt idx="25">
                  <c:v>2</c:v>
                </c:pt>
                <c:pt idx="26">
                  <c:v>4</c:v>
                </c:pt>
                <c:pt idx="27">
                  <c:v>1</c:v>
                </c:pt>
                <c:pt idx="28">
                  <c:v>5</c:v>
                </c:pt>
                <c:pt idx="29">
                  <c:v>35</c:v>
                </c:pt>
                <c:pt idx="30">
                  <c:v>1</c:v>
                </c:pt>
                <c:pt idx="31">
                  <c:v>3</c:v>
                </c:pt>
                <c:pt idx="32">
                  <c:v>1</c:v>
                </c:pt>
                <c:pt idx="33">
                  <c:v>5</c:v>
                </c:pt>
                <c:pt idx="34">
                  <c:v>3</c:v>
                </c:pt>
                <c:pt idx="35">
                  <c:v>4</c:v>
                </c:pt>
                <c:pt idx="36">
                  <c:v>65</c:v>
                </c:pt>
                <c:pt idx="37">
                  <c:v>4</c:v>
                </c:pt>
                <c:pt idx="38">
                  <c:v>18</c:v>
                </c:pt>
                <c:pt idx="39">
                  <c:v>25</c:v>
                </c:pt>
                <c:pt idx="40">
                  <c:v>10</c:v>
                </c:pt>
                <c:pt idx="41">
                  <c:v>14</c:v>
                </c:pt>
                <c:pt idx="42">
                  <c:v>3</c:v>
                </c:pt>
                <c:pt idx="43">
                  <c:v>9</c:v>
                </c:pt>
                <c:pt idx="44">
                  <c:v>2</c:v>
                </c:pt>
                <c:pt idx="45">
                  <c:v>2</c:v>
                </c:pt>
                <c:pt idx="46">
                  <c:v>11</c:v>
                </c:pt>
                <c:pt idx="47">
                  <c:v>4</c:v>
                </c:pt>
                <c:pt idx="48">
                  <c:v>8</c:v>
                </c:pt>
                <c:pt idx="49">
                  <c:v>8</c:v>
                </c:pt>
                <c:pt idx="50">
                  <c:v>12</c:v>
                </c:pt>
                <c:pt idx="51">
                  <c:v>6</c:v>
                </c:pt>
                <c:pt idx="52">
                  <c:v>57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6</c:v>
                </c:pt>
                <c:pt idx="57">
                  <c:v>1</c:v>
                </c:pt>
                <c:pt idx="58">
                  <c:v>10</c:v>
                </c:pt>
                <c:pt idx="59">
                  <c:v>11</c:v>
                </c:pt>
                <c:pt idx="60">
                  <c:v>45</c:v>
                </c:pt>
                <c:pt idx="61">
                  <c:v>7</c:v>
                </c:pt>
                <c:pt idx="62">
                  <c:v>25</c:v>
                </c:pt>
                <c:pt idx="63">
                  <c:v>6</c:v>
                </c:pt>
                <c:pt idx="64">
                  <c:v>15</c:v>
                </c:pt>
                <c:pt idx="65">
                  <c:v>1</c:v>
                </c:pt>
                <c:pt idx="66">
                  <c:v>39</c:v>
                </c:pt>
                <c:pt idx="67">
                  <c:v>62</c:v>
                </c:pt>
                <c:pt idx="68">
                  <c:v>1</c:v>
                </c:pt>
                <c:pt idx="69">
                  <c:v>22</c:v>
                </c:pt>
                <c:pt idx="70">
                  <c:v>21</c:v>
                </c:pt>
                <c:pt idx="71">
                  <c:v>14</c:v>
                </c:pt>
                <c:pt idx="72">
                  <c:v>10</c:v>
                </c:pt>
                <c:pt idx="73">
                  <c:v>5</c:v>
                </c:pt>
                <c:pt idx="74">
                  <c:v>11</c:v>
                </c:pt>
                <c:pt idx="75">
                  <c:v>52</c:v>
                </c:pt>
                <c:pt idx="76">
                  <c:v>4</c:v>
                </c:pt>
                <c:pt idx="77">
                  <c:v>7</c:v>
                </c:pt>
                <c:pt idx="78">
                  <c:v>12</c:v>
                </c:pt>
                <c:pt idx="79">
                  <c:v>5</c:v>
                </c:pt>
                <c:pt idx="80">
                  <c:v>2</c:v>
                </c:pt>
                <c:pt idx="81">
                  <c:v>59</c:v>
                </c:pt>
                <c:pt idx="82">
                  <c:v>7</c:v>
                </c:pt>
                <c:pt idx="83">
                  <c:v>6</c:v>
                </c:pt>
                <c:pt idx="84">
                  <c:v>9</c:v>
                </c:pt>
                <c:pt idx="85">
                  <c:v>1</c:v>
                </c:pt>
                <c:pt idx="86">
                  <c:v>34</c:v>
                </c:pt>
                <c:pt idx="87">
                  <c:v>2</c:v>
                </c:pt>
                <c:pt idx="88">
                  <c:v>18</c:v>
                </c:pt>
                <c:pt idx="89">
                  <c:v>35</c:v>
                </c:pt>
                <c:pt idx="90">
                  <c:v>5</c:v>
                </c:pt>
                <c:pt idx="91">
                  <c:v>6</c:v>
                </c:pt>
                <c:pt idx="92">
                  <c:v>17</c:v>
                </c:pt>
                <c:pt idx="93">
                  <c:v>1</c:v>
                </c:pt>
                <c:pt idx="94">
                  <c:v>11</c:v>
                </c:pt>
                <c:pt idx="95">
                  <c:v>1</c:v>
                </c:pt>
                <c:pt idx="96">
                  <c:v>4</c:v>
                </c:pt>
                <c:pt idx="97">
                  <c:v>1</c:v>
                </c:pt>
                <c:pt idx="98">
                  <c:v>3</c:v>
                </c:pt>
                <c:pt idx="99">
                  <c:v>2</c:v>
                </c:pt>
              </c:numCache>
            </c:numRef>
          </c:xVal>
          <c:yVal>
            <c:numRef>
              <c:f>Users!$I$2:$I$101</c:f>
              <c:numCache>
                <c:formatCode>0.00</c:formatCode>
                <c:ptCount val="100"/>
                <c:pt idx="0">
                  <c:v>0</c:v>
                </c:pt>
                <c:pt idx="1">
                  <c:v>5.98</c:v>
                </c:pt>
                <c:pt idx="2">
                  <c:v>8.9700000000000006</c:v>
                </c:pt>
                <c:pt idx="3">
                  <c:v>0</c:v>
                </c:pt>
                <c:pt idx="4">
                  <c:v>1.98</c:v>
                </c:pt>
                <c:pt idx="5">
                  <c:v>0.99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5.98</c:v>
                </c:pt>
                <c:pt idx="13">
                  <c:v>2.9699999999999998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0.99</c:v>
                </c:pt>
                <c:pt idx="18">
                  <c:v>0</c:v>
                </c:pt>
                <c:pt idx="19">
                  <c:v>0.99</c:v>
                </c:pt>
                <c:pt idx="20">
                  <c:v>3.9800000000000004</c:v>
                </c:pt>
                <c:pt idx="21">
                  <c:v>0</c:v>
                </c:pt>
                <c:pt idx="22">
                  <c:v>7.98</c:v>
                </c:pt>
                <c:pt idx="23">
                  <c:v>4.99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0.99</c:v>
                </c:pt>
                <c:pt idx="29">
                  <c:v>1.98</c:v>
                </c:pt>
                <c:pt idx="30">
                  <c:v>0</c:v>
                </c:pt>
                <c:pt idx="31">
                  <c:v>0.99</c:v>
                </c:pt>
                <c:pt idx="32">
                  <c:v>0</c:v>
                </c:pt>
                <c:pt idx="33">
                  <c:v>2.99</c:v>
                </c:pt>
                <c:pt idx="34">
                  <c:v>1.98</c:v>
                </c:pt>
                <c:pt idx="35">
                  <c:v>0</c:v>
                </c:pt>
                <c:pt idx="36">
                  <c:v>31.92</c:v>
                </c:pt>
                <c:pt idx="37">
                  <c:v>0</c:v>
                </c:pt>
                <c:pt idx="38">
                  <c:v>0.99</c:v>
                </c:pt>
                <c:pt idx="39">
                  <c:v>9.99</c:v>
                </c:pt>
                <c:pt idx="40">
                  <c:v>0</c:v>
                </c:pt>
                <c:pt idx="41">
                  <c:v>4.9700000000000006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12.98</c:v>
                </c:pt>
                <c:pt idx="47">
                  <c:v>2.99</c:v>
                </c:pt>
                <c:pt idx="48">
                  <c:v>0.99</c:v>
                </c:pt>
                <c:pt idx="49">
                  <c:v>0</c:v>
                </c:pt>
                <c:pt idx="50">
                  <c:v>6.9700000000000006</c:v>
                </c:pt>
                <c:pt idx="51">
                  <c:v>0.99</c:v>
                </c:pt>
                <c:pt idx="52">
                  <c:v>8.93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0.99</c:v>
                </c:pt>
                <c:pt idx="60">
                  <c:v>22.930000000000003</c:v>
                </c:pt>
                <c:pt idx="61">
                  <c:v>0</c:v>
                </c:pt>
                <c:pt idx="62">
                  <c:v>11.97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10.950000000000001</c:v>
                </c:pt>
                <c:pt idx="67">
                  <c:v>16.93</c:v>
                </c:pt>
                <c:pt idx="68">
                  <c:v>0</c:v>
                </c:pt>
                <c:pt idx="69">
                  <c:v>4.99</c:v>
                </c:pt>
                <c:pt idx="70">
                  <c:v>14.98</c:v>
                </c:pt>
                <c:pt idx="71">
                  <c:v>0</c:v>
                </c:pt>
                <c:pt idx="72">
                  <c:v>0</c:v>
                </c:pt>
                <c:pt idx="73">
                  <c:v>2.99</c:v>
                </c:pt>
                <c:pt idx="74">
                  <c:v>10.98</c:v>
                </c:pt>
                <c:pt idx="75">
                  <c:v>9.9600000000000009</c:v>
                </c:pt>
                <c:pt idx="76">
                  <c:v>4.99</c:v>
                </c:pt>
                <c:pt idx="77">
                  <c:v>4.99</c:v>
                </c:pt>
                <c:pt idx="78">
                  <c:v>0.99</c:v>
                </c:pt>
                <c:pt idx="79">
                  <c:v>0</c:v>
                </c:pt>
                <c:pt idx="80">
                  <c:v>2.99</c:v>
                </c:pt>
                <c:pt idx="81">
                  <c:v>37.920000000000009</c:v>
                </c:pt>
                <c:pt idx="82">
                  <c:v>0</c:v>
                </c:pt>
                <c:pt idx="83">
                  <c:v>2.99</c:v>
                </c:pt>
                <c:pt idx="84">
                  <c:v>0.99</c:v>
                </c:pt>
                <c:pt idx="85">
                  <c:v>0</c:v>
                </c:pt>
                <c:pt idx="86">
                  <c:v>0.99</c:v>
                </c:pt>
                <c:pt idx="87">
                  <c:v>0</c:v>
                </c:pt>
                <c:pt idx="88">
                  <c:v>1.98</c:v>
                </c:pt>
                <c:pt idx="89">
                  <c:v>61.930000000000007</c:v>
                </c:pt>
                <c:pt idx="90">
                  <c:v>7.98</c:v>
                </c:pt>
                <c:pt idx="91">
                  <c:v>49.99</c:v>
                </c:pt>
                <c:pt idx="92">
                  <c:v>5.98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0.99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65-4ACB-80F2-8C4FFCEEB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300127"/>
        <c:axId val="1265859584"/>
      </c:scatterChart>
      <c:valAx>
        <c:axId val="153930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5859584"/>
        <c:crosses val="autoZero"/>
        <c:crossBetween val="midCat"/>
      </c:valAx>
      <c:valAx>
        <c:axId val="12658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9300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746760</xdr:colOff>
      <xdr:row>1</xdr:row>
      <xdr:rowOff>53340</xdr:rowOff>
    </xdr:from>
    <xdr:to>
      <xdr:col>14</xdr:col>
      <xdr:colOff>502920</xdr:colOff>
      <xdr:row>19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603B0B-1F35-78F2-0093-3FBADB7B2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1</xdr:row>
      <xdr:rowOff>38100</xdr:rowOff>
    </xdr:from>
    <xdr:to>
      <xdr:col>15</xdr:col>
      <xdr:colOff>594360</xdr:colOff>
      <xdr:row>19</xdr:row>
      <xdr:rowOff>48260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1A845A-F05B-F7B2-8A0E-877B6222B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</xdr:row>
      <xdr:rowOff>45720</xdr:rowOff>
    </xdr:from>
    <xdr:to>
      <xdr:col>23</xdr:col>
      <xdr:colOff>548640</xdr:colOff>
      <xdr:row>19</xdr:row>
      <xdr:rowOff>55880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F1C006-6860-9009-35CF-45A283F1E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38100</xdr:rowOff>
    </xdr:from>
    <xdr:to>
      <xdr:col>14</xdr:col>
      <xdr:colOff>749300</xdr:colOff>
      <xdr:row>20</xdr:row>
      <xdr:rowOff>119380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CD665A-BA81-40E5-0B53-B3526101A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</xdr:colOff>
      <xdr:row>1</xdr:row>
      <xdr:rowOff>38100</xdr:rowOff>
    </xdr:from>
    <xdr:to>
      <xdr:col>17</xdr:col>
      <xdr:colOff>78740</xdr:colOff>
      <xdr:row>22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930B32-75A2-7CA6-0B23-2D9257616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502920</xdr:colOff>
      <xdr:row>6</xdr:row>
      <xdr:rowOff>175260</xdr:rowOff>
    </xdr:from>
    <xdr:to>
      <xdr:col>26</xdr:col>
      <xdr:colOff>259080</xdr:colOff>
      <xdr:row>25</xdr:row>
      <xdr:rowOff>2540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12ADFD-EC01-4060-84BE-9BFCAD4A7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808D-063A-40E4-B29F-30E42D166D31}">
  <dimension ref="A1:F14"/>
  <sheetViews>
    <sheetView tabSelected="1" workbookViewId="0">
      <selection activeCell="A9" sqref="A9:F10"/>
    </sheetView>
  </sheetViews>
  <sheetFormatPr baseColWidth="10" defaultRowHeight="14.4" x14ac:dyDescent="0.3"/>
  <cols>
    <col min="1" max="1" width="27.44140625" bestFit="1" customWidth="1"/>
    <col min="2" max="2" width="6.5546875" bestFit="1" customWidth="1"/>
    <col min="3" max="5" width="5.77734375" customWidth="1"/>
    <col min="6" max="6" width="5" bestFit="1" customWidth="1"/>
  </cols>
  <sheetData>
    <row r="1" spans="1:6" x14ac:dyDescent="0.3">
      <c r="A1" s="1" t="s">
        <v>149</v>
      </c>
      <c r="B1" s="1" t="s">
        <v>150</v>
      </c>
      <c r="C1" s="1"/>
      <c r="D1" s="1"/>
      <c r="E1" s="1"/>
      <c r="F1" s="1" t="s">
        <v>151</v>
      </c>
    </row>
    <row r="2" spans="1:6" x14ac:dyDescent="0.3">
      <c r="A2" t="s">
        <v>152</v>
      </c>
      <c r="B2" s="5">
        <f>AVERAGE(Daily!C2:C366)</f>
        <v>0.8794520547945206</v>
      </c>
      <c r="C2" s="5"/>
      <c r="D2" s="5"/>
      <c r="E2" s="5"/>
      <c r="F2">
        <f>COUNT(Daily!C2:C366)</f>
        <v>365</v>
      </c>
    </row>
    <row r="3" spans="1:6" x14ac:dyDescent="0.3">
      <c r="A3" t="s">
        <v>153</v>
      </c>
      <c r="B3" s="5">
        <f>AVERAGE(Monthly!C2:C13)</f>
        <v>9.3333333333333339</v>
      </c>
      <c r="C3" s="5"/>
      <c r="D3" s="5"/>
      <c r="E3" s="5"/>
      <c r="F3">
        <f>COUNT(Monthly!C2:C13)</f>
        <v>12</v>
      </c>
    </row>
    <row r="4" spans="1:6" x14ac:dyDescent="0.3">
      <c r="A4" t="s">
        <v>154</v>
      </c>
      <c r="B4" s="6">
        <f>AVERAGE(Monthly!E2:E13)</f>
        <v>0.10378745209390371</v>
      </c>
      <c r="C4" s="6"/>
      <c r="D4" s="6"/>
      <c r="E4" s="6"/>
      <c r="F4">
        <f>COUNT(Monthly!E2:E13)</f>
        <v>12</v>
      </c>
    </row>
    <row r="5" spans="1:6" x14ac:dyDescent="0.3">
      <c r="A5" t="s">
        <v>155</v>
      </c>
      <c r="B5" s="6">
        <f>SUMIFS(Users!K2:K101,Users!G2:G101,"&lt;="&amp;(DATE(2022,12,31)-1))/F5</f>
        <v>0.71</v>
      </c>
      <c r="C5" s="6"/>
      <c r="D5" s="6"/>
      <c r="E5" s="6"/>
      <c r="F5">
        <f>COUNTIF(Users!G2:G101,"&lt;="&amp;(DATE(2022,12,31)-1))</f>
        <v>100</v>
      </c>
    </row>
    <row r="6" spans="1:6" x14ac:dyDescent="0.3">
      <c r="A6" t="s">
        <v>156</v>
      </c>
      <c r="B6" s="6">
        <f>SUMIFS(Users!L2:L101,Users!G2:G101,"&lt;="&amp;(DATE(2022,12,31)-3))/F6</f>
        <v>0.26</v>
      </c>
      <c r="C6" s="6"/>
      <c r="D6" s="6"/>
      <c r="E6" s="6"/>
      <c r="F6">
        <f>COUNTIF(Users!G2:G101,"&lt;="&amp;(DATE(2022,12,31)-3))</f>
        <v>100</v>
      </c>
    </row>
    <row r="7" spans="1:6" x14ac:dyDescent="0.3">
      <c r="A7" t="s">
        <v>157</v>
      </c>
      <c r="B7" s="6">
        <f>SUMIFS(Users!M2:M101,Users!G2:G101,"&lt;="&amp;(DATE(2022,12,31)-7))/F7</f>
        <v>8.247422680412371E-2</v>
      </c>
      <c r="C7" s="6"/>
      <c r="D7" s="6"/>
      <c r="E7" s="6"/>
      <c r="F7">
        <f>COUNTIF(Users!G2:G101,"&lt;="&amp;(DATE(2022,12,31)-7))</f>
        <v>97</v>
      </c>
    </row>
    <row r="8" spans="1:6" x14ac:dyDescent="0.3">
      <c r="A8" t="s">
        <v>158</v>
      </c>
      <c r="B8" s="5">
        <f>SUM(Users!I2:I101)</f>
        <v>429.82000000000016</v>
      </c>
      <c r="C8" s="5"/>
      <c r="D8" s="5"/>
      <c r="E8" s="5"/>
      <c r="F8">
        <f>COUNT(Users!I2:I101)</f>
        <v>100</v>
      </c>
    </row>
    <row r="9" spans="1:6" x14ac:dyDescent="0.3">
      <c r="A9" t="s">
        <v>159</v>
      </c>
      <c r="B9" s="5">
        <f>AVERAGE(Users!I2:I101)</f>
        <v>4.2982000000000014</v>
      </c>
      <c r="C9" s="5"/>
      <c r="D9" s="5"/>
      <c r="E9" s="5"/>
      <c r="F9">
        <f>COUNT(Users!I2:I101)</f>
        <v>100</v>
      </c>
    </row>
    <row r="10" spans="1:6" x14ac:dyDescent="0.3">
      <c r="A10" t="s">
        <v>160</v>
      </c>
      <c r="B10" s="5" cm="1">
        <f t="array" ref="B10">AVERAGE(_xlfn._xlws.FILTER(Users!I2:I101,Users!I2:I101&gt;0))</f>
        <v>8.5964000000000027</v>
      </c>
      <c r="C10" s="5"/>
      <c r="D10" s="5"/>
      <c r="E10" s="5"/>
      <c r="F10">
        <f>COUNTIF(Users!I2:I101,"&gt;0")</f>
        <v>50</v>
      </c>
    </row>
    <row r="11" spans="1:6" x14ac:dyDescent="0.3">
      <c r="A11" t="s">
        <v>161</v>
      </c>
      <c r="B11" s="6">
        <f>AVERAGE(Users!J2:J101)</f>
        <v>0.5</v>
      </c>
      <c r="C11" s="6"/>
      <c r="D11" s="6"/>
      <c r="E11" s="6"/>
      <c r="F11">
        <f>COUNT(Users!J2:J101)</f>
        <v>100</v>
      </c>
    </row>
    <row r="12" spans="1:6" x14ac:dyDescent="0.3">
      <c r="A12" t="s">
        <v>162</v>
      </c>
      <c r="B12" s="5">
        <f>AVERAGE(Users!H2:H101)</f>
        <v>11.84</v>
      </c>
      <c r="C12" s="5"/>
      <c r="D12" s="5"/>
      <c r="E12" s="5"/>
      <c r="F12">
        <f>COUNT(Users!H2:H101)</f>
        <v>100</v>
      </c>
    </row>
    <row r="13" spans="1:6" x14ac:dyDescent="0.3">
      <c r="A13" t="s">
        <v>163</v>
      </c>
      <c r="B13" s="5">
        <f>AVERAGE(Daily!D2:D366)</f>
        <v>3.2438356164383562</v>
      </c>
      <c r="C13" s="5"/>
      <c r="D13" s="5"/>
      <c r="E13" s="5"/>
      <c r="F13">
        <f>COUNT(Daily!D2:D366)</f>
        <v>365</v>
      </c>
    </row>
    <row r="14" spans="1:6" x14ac:dyDescent="0.3">
      <c r="A14" t="s">
        <v>164</v>
      </c>
      <c r="B14" s="5">
        <f>AVERAGE(Sessions!G2:G1185)</f>
        <v>8.8779420047423034</v>
      </c>
      <c r="C14" s="5"/>
      <c r="D14" s="5"/>
      <c r="E14" s="5"/>
      <c r="F14">
        <f>COUNT(Sessions!G2:G1185)</f>
        <v>1184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E3F3-0757-438B-84F2-60CDB34E443C}">
  <dimension ref="A1:G13"/>
  <sheetViews>
    <sheetView workbookViewId="0">
      <selection activeCell="D2" sqref="D2"/>
    </sheetView>
  </sheetViews>
  <sheetFormatPr baseColWidth="10" defaultRowHeight="14.4" x14ac:dyDescent="0.3"/>
  <cols>
    <col min="1" max="1" width="6.109375" bestFit="1" customWidth="1"/>
    <col min="2" max="2" width="6" bestFit="1" customWidth="1"/>
    <col min="3" max="3" width="4.77734375" bestFit="1" customWidth="1"/>
    <col min="4" max="4" width="11.44140625" bestFit="1" customWidth="1"/>
    <col min="5" max="5" width="9.6640625" bestFit="1" customWidth="1"/>
    <col min="6" max="6" width="8" bestFit="1" customWidth="1"/>
    <col min="7" max="7" width="5.5546875" bestFit="1" customWidth="1"/>
  </cols>
  <sheetData>
    <row r="1" spans="1:7" x14ac:dyDescent="0.3">
      <c r="A1" s="1" t="s">
        <v>128</v>
      </c>
      <c r="B1" s="1" t="s">
        <v>3</v>
      </c>
      <c r="C1" s="1" t="s">
        <v>133</v>
      </c>
      <c r="D1" s="1" t="s">
        <v>134</v>
      </c>
      <c r="E1" s="1" t="s">
        <v>135</v>
      </c>
      <c r="F1" s="1" t="s">
        <v>10</v>
      </c>
      <c r="G1" s="1" t="s">
        <v>136</v>
      </c>
    </row>
    <row r="2" spans="1:7" x14ac:dyDescent="0.3">
      <c r="A2">
        <v>1</v>
      </c>
      <c r="B2" t="s">
        <v>137</v>
      </c>
      <c r="C2">
        <f>SUMIFS(Sessions!$I:$I,Sessions!$F:$F,A2)</f>
        <v>9</v>
      </c>
      <c r="D2" s="5">
        <f>AVERAGEIF(Daily!$B:$B,A2,Daily!$C:$C)</f>
        <v>0.45161290322580644</v>
      </c>
      <c r="E2" s="6">
        <f t="shared" ref="E2:E13" si="0">IF(C2&gt;0,D2/C2,0)</f>
        <v>5.0179211469534052E-2</v>
      </c>
      <c r="F2" s="5">
        <f>SUMIFS(Purchases!$E:$E,Purchases!$G:$G,A2)</f>
        <v>3.9800000000000004</v>
      </c>
      <c r="G2" s="5">
        <f>IF(C2&gt;0,F2/C2,0)</f>
        <v>0.44222222222222229</v>
      </c>
    </row>
    <row r="3" spans="1:7" x14ac:dyDescent="0.3">
      <c r="A3">
        <v>2</v>
      </c>
      <c r="B3" t="s">
        <v>138</v>
      </c>
      <c r="C3">
        <f>SUMIFS(Sessions!$I:$I,Sessions!$F:$F,A3)</f>
        <v>11</v>
      </c>
      <c r="D3" s="5">
        <f>AVERAGEIF(Daily!$B:$B,A3,Daily!$C:$C)</f>
        <v>0.5</v>
      </c>
      <c r="E3" s="6">
        <f t="shared" si="0"/>
        <v>4.5454545454545456E-2</v>
      </c>
      <c r="F3" s="5">
        <f>SUMIFS(Purchases!$E:$E,Purchases!$G:$G,A3)</f>
        <v>2.99</v>
      </c>
      <c r="G3" s="5">
        <f t="shared" ref="G2:G13" si="1">IF(C3&gt;0,F3/C3,0)</f>
        <v>0.27181818181818185</v>
      </c>
    </row>
    <row r="4" spans="1:7" x14ac:dyDescent="0.3">
      <c r="A4">
        <v>3</v>
      </c>
      <c r="B4" t="s">
        <v>139</v>
      </c>
      <c r="C4">
        <f>SUMIFS(Sessions!$I:$I,Sessions!$F:$F,A4)</f>
        <v>8</v>
      </c>
      <c r="D4" s="5">
        <f>AVERAGEIF(Daily!$B:$B,A4,Daily!$C:$C)</f>
        <v>0.38709677419354838</v>
      </c>
      <c r="E4" s="6">
        <f t="shared" si="0"/>
        <v>4.8387096774193547E-2</v>
      </c>
      <c r="F4" s="5">
        <f>SUMIFS(Purchases!$E:$E,Purchases!$G:$G,A4)</f>
        <v>12.97</v>
      </c>
      <c r="G4" s="5">
        <f t="shared" si="1"/>
        <v>1.6212500000000001</v>
      </c>
    </row>
    <row r="5" spans="1:7" x14ac:dyDescent="0.3">
      <c r="A5">
        <v>4</v>
      </c>
      <c r="B5" t="s">
        <v>140</v>
      </c>
      <c r="C5">
        <f>SUMIFS(Sessions!$I:$I,Sessions!$F:$F,A5)</f>
        <v>10</v>
      </c>
      <c r="D5" s="5">
        <f>AVERAGEIF(Daily!$B:$B,A5,Daily!$C:$C)</f>
        <v>0.46666666666666667</v>
      </c>
      <c r="E5" s="6">
        <f t="shared" si="0"/>
        <v>4.6666666666666669E-2</v>
      </c>
      <c r="F5" s="5">
        <f>SUMIFS(Purchases!$E:$E,Purchases!$G:$G,A5)</f>
        <v>11.94</v>
      </c>
      <c r="G5" s="5">
        <f t="shared" si="1"/>
        <v>1.194</v>
      </c>
    </row>
    <row r="6" spans="1:7" x14ac:dyDescent="0.3">
      <c r="A6">
        <v>5</v>
      </c>
      <c r="B6" t="s">
        <v>141</v>
      </c>
      <c r="C6">
        <f>SUMIFS(Sessions!$I:$I,Sessions!$F:$F,A6)</f>
        <v>9</v>
      </c>
      <c r="D6" s="5">
        <f>AVERAGEIF(Daily!$B:$B,A6,Daily!$C:$C)</f>
        <v>0.38709677419354838</v>
      </c>
      <c r="E6" s="6">
        <f t="shared" si="0"/>
        <v>4.301075268817204E-2</v>
      </c>
      <c r="F6" s="5">
        <f>SUMIFS(Purchases!$E:$E,Purchases!$G:$G,A6)</f>
        <v>1.98</v>
      </c>
      <c r="G6" s="5">
        <f t="shared" si="1"/>
        <v>0.22</v>
      </c>
    </row>
    <row r="7" spans="1:7" x14ac:dyDescent="0.3">
      <c r="A7">
        <v>6</v>
      </c>
      <c r="B7" t="s">
        <v>142</v>
      </c>
      <c r="C7">
        <f>SUMIFS(Sessions!$I:$I,Sessions!$F:$F,A7)</f>
        <v>12</v>
      </c>
      <c r="D7" s="5">
        <f>AVERAGEIF(Daily!$B:$B,A7,Daily!$C:$C)</f>
        <v>1.5666666666666667</v>
      </c>
      <c r="E7" s="6">
        <f t="shared" si="0"/>
        <v>0.13055555555555556</v>
      </c>
      <c r="F7" s="5">
        <f>SUMIFS(Purchases!$E:$E,Purchases!$G:$G,A7)</f>
        <v>63.800000000000011</v>
      </c>
      <c r="G7" s="5">
        <f t="shared" si="1"/>
        <v>5.3166666666666673</v>
      </c>
    </row>
    <row r="8" spans="1:7" x14ac:dyDescent="0.3">
      <c r="A8">
        <v>7</v>
      </c>
      <c r="B8" t="s">
        <v>143</v>
      </c>
      <c r="C8">
        <f>SUMIFS(Sessions!$I:$I,Sessions!$F:$F,A8)</f>
        <v>15</v>
      </c>
      <c r="D8" s="5">
        <f>AVERAGEIF(Daily!$B:$B,A8,Daily!$C:$C)</f>
        <v>2.193548387096774</v>
      </c>
      <c r="E8" s="6">
        <f t="shared" si="0"/>
        <v>0.14623655913978492</v>
      </c>
      <c r="F8" s="5">
        <f>SUMIFS(Purchases!$E:$E,Purchases!$G:$G,A8)</f>
        <v>169.68</v>
      </c>
      <c r="G8" s="5">
        <f t="shared" si="1"/>
        <v>11.312000000000001</v>
      </c>
    </row>
    <row r="9" spans="1:7" x14ac:dyDescent="0.3">
      <c r="A9">
        <v>8</v>
      </c>
      <c r="B9" t="s">
        <v>144</v>
      </c>
      <c r="C9">
        <f>SUMIFS(Sessions!$I:$I,Sessions!$F:$F,A9)</f>
        <v>7</v>
      </c>
      <c r="D9" s="5">
        <f>AVERAGEIF(Daily!$B:$B,A9,Daily!$C:$C)</f>
        <v>0.5161290322580645</v>
      </c>
      <c r="E9" s="6">
        <f t="shared" si="0"/>
        <v>7.3732718894009217E-2</v>
      </c>
      <c r="F9" s="5">
        <f>SUMIFS(Purchases!$E:$E,Purchases!$G:$G,A9)</f>
        <v>20.94</v>
      </c>
      <c r="G9" s="5">
        <f t="shared" si="1"/>
        <v>2.9914285714285715</v>
      </c>
    </row>
    <row r="10" spans="1:7" x14ac:dyDescent="0.3">
      <c r="A10">
        <v>9</v>
      </c>
      <c r="B10" t="s">
        <v>145</v>
      </c>
      <c r="C10">
        <f>SUMIFS(Sessions!$I:$I,Sessions!$F:$F,A10)</f>
        <v>7</v>
      </c>
      <c r="D10" s="5">
        <f>AVERAGEIF(Daily!$B:$B,A10,Daily!$C:$C)</f>
        <v>0.76666666666666672</v>
      </c>
      <c r="E10" s="6">
        <f t="shared" si="0"/>
        <v>0.10952380952380954</v>
      </c>
      <c r="F10" s="5">
        <f>SUMIFS(Purchases!$E:$E,Purchases!$G:$G,A10)</f>
        <v>14.930000000000001</v>
      </c>
      <c r="G10" s="5">
        <f t="shared" si="1"/>
        <v>2.132857142857143</v>
      </c>
    </row>
    <row r="11" spans="1:7" x14ac:dyDescent="0.3">
      <c r="A11">
        <v>10</v>
      </c>
      <c r="B11" t="s">
        <v>146</v>
      </c>
      <c r="C11">
        <f>SUMIFS(Sessions!$I:$I,Sessions!$F:$F,A11)</f>
        <v>2</v>
      </c>
      <c r="D11" s="5">
        <f>AVERAGEIF(Daily!$B:$B,A11,Daily!$C:$C)</f>
        <v>0.61290322580645162</v>
      </c>
      <c r="E11" s="6">
        <f t="shared" si="0"/>
        <v>0.30645161290322581</v>
      </c>
      <c r="F11" s="5">
        <f>SUMIFS(Purchases!$E:$E,Purchases!$G:$G,A11)</f>
        <v>37.88000000000001</v>
      </c>
      <c r="G11" s="5">
        <f t="shared" si="1"/>
        <v>18.940000000000005</v>
      </c>
    </row>
    <row r="12" spans="1:7" x14ac:dyDescent="0.3">
      <c r="A12">
        <v>11</v>
      </c>
      <c r="B12" t="s">
        <v>147</v>
      </c>
      <c r="C12">
        <f>SUMIFS(Sessions!$I:$I,Sessions!$F:$F,A12)</f>
        <v>12</v>
      </c>
      <c r="D12" s="5">
        <f>AVERAGEIF(Daily!$B:$B,A12,Daily!$C:$C)</f>
        <v>1.4333333333333333</v>
      </c>
      <c r="E12" s="6">
        <f t="shared" si="0"/>
        <v>0.11944444444444445</v>
      </c>
      <c r="F12" s="5">
        <f>SUMIFS(Purchases!$E:$E,Purchases!$G:$G,A12)</f>
        <v>27.860000000000003</v>
      </c>
      <c r="G12" s="5">
        <f t="shared" si="1"/>
        <v>2.3216666666666668</v>
      </c>
    </row>
    <row r="13" spans="1:7" x14ac:dyDescent="0.3">
      <c r="A13">
        <v>12</v>
      </c>
      <c r="B13" t="s">
        <v>148</v>
      </c>
      <c r="C13">
        <f>SUMIFS(Sessions!$I:$I,Sessions!$F:$F,A13)</f>
        <v>10</v>
      </c>
      <c r="D13" s="5">
        <f>AVERAGEIF(Daily!$B:$B,A13,Daily!$C:$C)</f>
        <v>1.2580645161290323</v>
      </c>
      <c r="E13" s="6">
        <f t="shared" si="0"/>
        <v>0.12580645161290321</v>
      </c>
      <c r="F13" s="5">
        <f>SUMIFS(Purchases!$E:$E,Purchases!$G:$G,A13)</f>
        <v>60.870000000000019</v>
      </c>
      <c r="G13" s="5">
        <f t="shared" si="1"/>
        <v>6.0870000000000015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4276-3AAA-464F-93DE-4DA6EE58738C}">
  <dimension ref="A1:D366"/>
  <sheetViews>
    <sheetView workbookViewId="0">
      <selection activeCell="F37" sqref="F37"/>
    </sheetView>
  </sheetViews>
  <sheetFormatPr baseColWidth="10" defaultRowHeight="14.4" x14ac:dyDescent="0.3"/>
  <cols>
    <col min="1" max="1" width="10.33203125" bestFit="1" customWidth="1"/>
    <col min="2" max="2" width="6.109375" bestFit="1" customWidth="1"/>
    <col min="3" max="3" width="4.5546875" bestFit="1" customWidth="1"/>
    <col min="4" max="4" width="8.33203125" bestFit="1" customWidth="1"/>
  </cols>
  <sheetData>
    <row r="1" spans="1:4" x14ac:dyDescent="0.3">
      <c r="A1" s="1" t="s">
        <v>131</v>
      </c>
      <c r="B1" s="1" t="s">
        <v>128</v>
      </c>
      <c r="C1" s="1" t="s">
        <v>132</v>
      </c>
      <c r="D1" s="1" t="s">
        <v>9</v>
      </c>
    </row>
    <row r="2" spans="1:4" x14ac:dyDescent="0.3">
      <c r="A2" s="3">
        <f>DATE(2022,1,1)</f>
        <v>44562</v>
      </c>
      <c r="B2">
        <f t="shared" ref="B2:B65" si="0">MONTH(A2)</f>
        <v>1</v>
      </c>
      <c r="C2">
        <f>SUMIFS(Sessions!$H:$H,Sessions!$E:$E,A2)</f>
        <v>0</v>
      </c>
      <c r="D2">
        <f>COUNTIF(Sessions!$E:$E,A2)</f>
        <v>0</v>
      </c>
    </row>
    <row r="3" spans="1:4" x14ac:dyDescent="0.3">
      <c r="A3" s="3">
        <f t="shared" ref="A3:A66" si="1">A2+1</f>
        <v>44563</v>
      </c>
      <c r="B3">
        <f t="shared" si="0"/>
        <v>1</v>
      </c>
      <c r="C3">
        <f>SUMIFS(Sessions!$H:$H,Sessions!$E:$E,A3)</f>
        <v>0</v>
      </c>
      <c r="D3">
        <f>COUNTIF(Sessions!$E:$E,A3)</f>
        <v>0</v>
      </c>
    </row>
    <row r="4" spans="1:4" x14ac:dyDescent="0.3">
      <c r="A4" s="3">
        <f t="shared" si="1"/>
        <v>44564</v>
      </c>
      <c r="B4">
        <f t="shared" si="0"/>
        <v>1</v>
      </c>
      <c r="C4">
        <f>SUMIFS(Sessions!$H:$H,Sessions!$E:$E,A4)</f>
        <v>0</v>
      </c>
      <c r="D4">
        <f>COUNTIF(Sessions!$E:$E,A4)</f>
        <v>0</v>
      </c>
    </row>
    <row r="5" spans="1:4" x14ac:dyDescent="0.3">
      <c r="A5" s="3">
        <f t="shared" si="1"/>
        <v>44565</v>
      </c>
      <c r="B5">
        <f t="shared" si="0"/>
        <v>1</v>
      </c>
      <c r="C5">
        <f>SUMIFS(Sessions!$H:$H,Sessions!$E:$E,A5)</f>
        <v>1</v>
      </c>
      <c r="D5">
        <f>COUNTIF(Sessions!$E:$E,A5)</f>
        <v>1</v>
      </c>
    </row>
    <row r="6" spans="1:4" x14ac:dyDescent="0.3">
      <c r="A6" s="3">
        <f t="shared" si="1"/>
        <v>44566</v>
      </c>
      <c r="B6">
        <f t="shared" si="0"/>
        <v>1</v>
      </c>
      <c r="C6">
        <f>SUMIFS(Sessions!$H:$H,Sessions!$E:$E,A6)</f>
        <v>1</v>
      </c>
      <c r="D6">
        <f>COUNTIF(Sessions!$E:$E,A6)</f>
        <v>6</v>
      </c>
    </row>
    <row r="7" spans="1:4" x14ac:dyDescent="0.3">
      <c r="A7" s="3">
        <f t="shared" si="1"/>
        <v>44567</v>
      </c>
      <c r="B7">
        <f t="shared" si="0"/>
        <v>1</v>
      </c>
      <c r="C7">
        <f>SUMIFS(Sessions!$H:$H,Sessions!$E:$E,A7)</f>
        <v>2</v>
      </c>
      <c r="D7">
        <f>COUNTIF(Sessions!$E:$E,A7)</f>
        <v>3</v>
      </c>
    </row>
    <row r="8" spans="1:4" x14ac:dyDescent="0.3">
      <c r="A8" s="3">
        <f t="shared" si="1"/>
        <v>44568</v>
      </c>
      <c r="B8">
        <f t="shared" si="0"/>
        <v>1</v>
      </c>
      <c r="C8">
        <f>SUMIFS(Sessions!$H:$H,Sessions!$E:$E,A8)</f>
        <v>0</v>
      </c>
      <c r="D8">
        <f>COUNTIF(Sessions!$E:$E,A8)</f>
        <v>0</v>
      </c>
    </row>
    <row r="9" spans="1:4" x14ac:dyDescent="0.3">
      <c r="A9" s="3">
        <f t="shared" si="1"/>
        <v>44569</v>
      </c>
      <c r="B9">
        <f t="shared" si="0"/>
        <v>1</v>
      </c>
      <c r="C9">
        <f>SUMIFS(Sessions!$H:$H,Sessions!$E:$E,A9)</f>
        <v>0</v>
      </c>
      <c r="D9">
        <f>COUNTIF(Sessions!$E:$E,A9)</f>
        <v>0</v>
      </c>
    </row>
    <row r="10" spans="1:4" x14ac:dyDescent="0.3">
      <c r="A10" s="3">
        <f t="shared" si="1"/>
        <v>44570</v>
      </c>
      <c r="B10">
        <f t="shared" si="0"/>
        <v>1</v>
      </c>
      <c r="C10">
        <f>SUMIFS(Sessions!$H:$H,Sessions!$E:$E,A10)</f>
        <v>0</v>
      </c>
      <c r="D10">
        <f>COUNTIF(Sessions!$E:$E,A10)</f>
        <v>0</v>
      </c>
    </row>
    <row r="11" spans="1:4" x14ac:dyDescent="0.3">
      <c r="A11" s="3">
        <f t="shared" si="1"/>
        <v>44571</v>
      </c>
      <c r="B11">
        <f t="shared" si="0"/>
        <v>1</v>
      </c>
      <c r="C11">
        <f>SUMIFS(Sessions!$H:$H,Sessions!$E:$E,A11)</f>
        <v>0</v>
      </c>
      <c r="D11">
        <f>COUNTIF(Sessions!$E:$E,A11)</f>
        <v>0</v>
      </c>
    </row>
    <row r="12" spans="1:4" x14ac:dyDescent="0.3">
      <c r="A12" s="3">
        <f t="shared" si="1"/>
        <v>44572</v>
      </c>
      <c r="B12">
        <f t="shared" si="0"/>
        <v>1</v>
      </c>
      <c r="C12">
        <f>SUMIFS(Sessions!$H:$H,Sessions!$E:$E,A12)</f>
        <v>1</v>
      </c>
      <c r="D12">
        <f>COUNTIF(Sessions!$E:$E,A12)</f>
        <v>1</v>
      </c>
    </row>
    <row r="13" spans="1:4" x14ac:dyDescent="0.3">
      <c r="A13" s="3">
        <f t="shared" si="1"/>
        <v>44573</v>
      </c>
      <c r="B13">
        <f t="shared" si="0"/>
        <v>1</v>
      </c>
      <c r="C13">
        <f>SUMIFS(Sessions!$H:$H,Sessions!$E:$E,A13)</f>
        <v>0</v>
      </c>
      <c r="D13">
        <f>COUNTIF(Sessions!$E:$E,A13)</f>
        <v>0</v>
      </c>
    </row>
    <row r="14" spans="1:4" x14ac:dyDescent="0.3">
      <c r="A14" s="3">
        <f t="shared" si="1"/>
        <v>44574</v>
      </c>
      <c r="B14">
        <f t="shared" si="0"/>
        <v>1</v>
      </c>
      <c r="C14">
        <f>SUMIFS(Sessions!$H:$H,Sessions!$E:$E,A14)</f>
        <v>1</v>
      </c>
      <c r="D14">
        <f>COUNTIF(Sessions!$E:$E,A14)</f>
        <v>2</v>
      </c>
    </row>
    <row r="15" spans="1:4" x14ac:dyDescent="0.3">
      <c r="A15" s="3">
        <f t="shared" si="1"/>
        <v>44575</v>
      </c>
      <c r="B15">
        <f t="shared" si="0"/>
        <v>1</v>
      </c>
      <c r="C15">
        <f>SUMIFS(Sessions!$H:$H,Sessions!$E:$E,A15)</f>
        <v>2</v>
      </c>
      <c r="D15">
        <f>COUNTIF(Sessions!$E:$E,A15)</f>
        <v>5</v>
      </c>
    </row>
    <row r="16" spans="1:4" x14ac:dyDescent="0.3">
      <c r="A16" s="3">
        <f t="shared" si="1"/>
        <v>44576</v>
      </c>
      <c r="B16">
        <f t="shared" si="0"/>
        <v>1</v>
      </c>
      <c r="C16">
        <f>SUMIFS(Sessions!$H:$H,Sessions!$E:$E,A16)</f>
        <v>1</v>
      </c>
      <c r="D16">
        <f>COUNTIF(Sessions!$E:$E,A16)</f>
        <v>4</v>
      </c>
    </row>
    <row r="17" spans="1:4" x14ac:dyDescent="0.3">
      <c r="A17" s="3">
        <f t="shared" si="1"/>
        <v>44577</v>
      </c>
      <c r="B17">
        <f t="shared" si="0"/>
        <v>1</v>
      </c>
      <c r="C17">
        <f>SUMIFS(Sessions!$H:$H,Sessions!$E:$E,A17)</f>
        <v>2</v>
      </c>
      <c r="D17">
        <f>COUNTIF(Sessions!$E:$E,A17)</f>
        <v>2</v>
      </c>
    </row>
    <row r="18" spans="1:4" x14ac:dyDescent="0.3">
      <c r="A18" s="3">
        <f t="shared" si="1"/>
        <v>44578</v>
      </c>
      <c r="B18">
        <f t="shared" si="0"/>
        <v>1</v>
      </c>
      <c r="C18">
        <f>SUMIFS(Sessions!$H:$H,Sessions!$E:$E,A18)</f>
        <v>0</v>
      </c>
      <c r="D18">
        <f>COUNTIF(Sessions!$E:$E,A18)</f>
        <v>0</v>
      </c>
    </row>
    <row r="19" spans="1:4" x14ac:dyDescent="0.3">
      <c r="A19" s="3">
        <f t="shared" si="1"/>
        <v>44579</v>
      </c>
      <c r="B19">
        <f t="shared" si="0"/>
        <v>1</v>
      </c>
      <c r="C19">
        <f>SUMIFS(Sessions!$H:$H,Sessions!$E:$E,A19)</f>
        <v>0</v>
      </c>
      <c r="D19">
        <f>COUNTIF(Sessions!$E:$E,A19)</f>
        <v>0</v>
      </c>
    </row>
    <row r="20" spans="1:4" x14ac:dyDescent="0.3">
      <c r="A20" s="3">
        <f t="shared" si="1"/>
        <v>44580</v>
      </c>
      <c r="B20">
        <f t="shared" si="0"/>
        <v>1</v>
      </c>
      <c r="C20">
        <f>SUMIFS(Sessions!$H:$H,Sessions!$E:$E,A20)</f>
        <v>0</v>
      </c>
      <c r="D20">
        <f>COUNTIF(Sessions!$E:$E,A20)</f>
        <v>0</v>
      </c>
    </row>
    <row r="21" spans="1:4" x14ac:dyDescent="0.3">
      <c r="A21" s="3">
        <f t="shared" si="1"/>
        <v>44581</v>
      </c>
      <c r="B21">
        <f t="shared" si="0"/>
        <v>1</v>
      </c>
      <c r="C21">
        <f>SUMIFS(Sessions!$H:$H,Sessions!$E:$E,A21)</f>
        <v>0</v>
      </c>
      <c r="D21">
        <f>COUNTIF(Sessions!$E:$E,A21)</f>
        <v>0</v>
      </c>
    </row>
    <row r="22" spans="1:4" x14ac:dyDescent="0.3">
      <c r="A22" s="3">
        <f t="shared" si="1"/>
        <v>44582</v>
      </c>
      <c r="B22">
        <f t="shared" si="0"/>
        <v>1</v>
      </c>
      <c r="C22">
        <f>SUMIFS(Sessions!$H:$H,Sessions!$E:$E,A22)</f>
        <v>1</v>
      </c>
      <c r="D22">
        <f>COUNTIF(Sessions!$E:$E,A22)</f>
        <v>1</v>
      </c>
    </row>
    <row r="23" spans="1:4" x14ac:dyDescent="0.3">
      <c r="A23" s="3">
        <f t="shared" si="1"/>
        <v>44583</v>
      </c>
      <c r="B23">
        <f t="shared" si="0"/>
        <v>1</v>
      </c>
      <c r="C23">
        <f>SUMIFS(Sessions!$H:$H,Sessions!$E:$E,A23)</f>
        <v>0</v>
      </c>
      <c r="D23">
        <f>COUNTIF(Sessions!$E:$E,A23)</f>
        <v>0</v>
      </c>
    </row>
    <row r="24" spans="1:4" x14ac:dyDescent="0.3">
      <c r="A24" s="3">
        <f t="shared" si="1"/>
        <v>44584</v>
      </c>
      <c r="B24">
        <f t="shared" si="0"/>
        <v>1</v>
      </c>
      <c r="C24">
        <f>SUMIFS(Sessions!$H:$H,Sessions!$E:$E,A24)</f>
        <v>0</v>
      </c>
      <c r="D24">
        <f>COUNTIF(Sessions!$E:$E,A24)</f>
        <v>0</v>
      </c>
    </row>
    <row r="25" spans="1:4" x14ac:dyDescent="0.3">
      <c r="A25" s="3">
        <f t="shared" si="1"/>
        <v>44585</v>
      </c>
      <c r="B25">
        <f t="shared" si="0"/>
        <v>1</v>
      </c>
      <c r="C25">
        <f>SUMIFS(Sessions!$H:$H,Sessions!$E:$E,A25)</f>
        <v>1</v>
      </c>
      <c r="D25">
        <f>COUNTIF(Sessions!$E:$E,A25)</f>
        <v>2</v>
      </c>
    </row>
    <row r="26" spans="1:4" x14ac:dyDescent="0.3">
      <c r="A26" s="3">
        <f t="shared" si="1"/>
        <v>44586</v>
      </c>
      <c r="B26">
        <f t="shared" si="0"/>
        <v>1</v>
      </c>
      <c r="C26">
        <f>SUMIFS(Sessions!$H:$H,Sessions!$E:$E,A26)</f>
        <v>0</v>
      </c>
      <c r="D26">
        <f>COUNTIF(Sessions!$E:$E,A26)</f>
        <v>0</v>
      </c>
    </row>
    <row r="27" spans="1:4" x14ac:dyDescent="0.3">
      <c r="A27" s="3">
        <f t="shared" si="1"/>
        <v>44587</v>
      </c>
      <c r="B27">
        <f t="shared" si="0"/>
        <v>1</v>
      </c>
      <c r="C27">
        <f>SUMIFS(Sessions!$H:$H,Sessions!$E:$E,A27)</f>
        <v>0</v>
      </c>
      <c r="D27">
        <f>COUNTIF(Sessions!$E:$E,A27)</f>
        <v>0</v>
      </c>
    </row>
    <row r="28" spans="1:4" x14ac:dyDescent="0.3">
      <c r="A28" s="3">
        <f t="shared" si="1"/>
        <v>44588</v>
      </c>
      <c r="B28">
        <f t="shared" si="0"/>
        <v>1</v>
      </c>
      <c r="C28">
        <f>SUMIFS(Sessions!$H:$H,Sessions!$E:$E,A28)</f>
        <v>0</v>
      </c>
      <c r="D28">
        <f>COUNTIF(Sessions!$E:$E,A28)</f>
        <v>0</v>
      </c>
    </row>
    <row r="29" spans="1:4" x14ac:dyDescent="0.3">
      <c r="A29" s="3">
        <f t="shared" si="1"/>
        <v>44589</v>
      </c>
      <c r="B29">
        <f t="shared" si="0"/>
        <v>1</v>
      </c>
      <c r="C29">
        <f>SUMIFS(Sessions!$H:$H,Sessions!$E:$E,A29)</f>
        <v>0</v>
      </c>
      <c r="D29">
        <f>COUNTIF(Sessions!$E:$E,A29)</f>
        <v>0</v>
      </c>
    </row>
    <row r="30" spans="1:4" x14ac:dyDescent="0.3">
      <c r="A30" s="3">
        <f t="shared" si="1"/>
        <v>44590</v>
      </c>
      <c r="B30">
        <f t="shared" si="0"/>
        <v>1</v>
      </c>
      <c r="C30">
        <f>SUMIFS(Sessions!$H:$H,Sessions!$E:$E,A30)</f>
        <v>0</v>
      </c>
      <c r="D30">
        <f>COUNTIF(Sessions!$E:$E,A30)</f>
        <v>0</v>
      </c>
    </row>
    <row r="31" spans="1:4" x14ac:dyDescent="0.3">
      <c r="A31" s="3">
        <f t="shared" si="1"/>
        <v>44591</v>
      </c>
      <c r="B31">
        <f t="shared" si="0"/>
        <v>1</v>
      </c>
      <c r="C31">
        <f>SUMIFS(Sessions!$H:$H,Sessions!$E:$E,A31)</f>
        <v>0</v>
      </c>
      <c r="D31">
        <f>COUNTIF(Sessions!$E:$E,A31)</f>
        <v>0</v>
      </c>
    </row>
    <row r="32" spans="1:4" x14ac:dyDescent="0.3">
      <c r="A32" s="3">
        <f t="shared" si="1"/>
        <v>44592</v>
      </c>
      <c r="B32">
        <f t="shared" si="0"/>
        <v>1</v>
      </c>
      <c r="C32">
        <f>SUMIFS(Sessions!$H:$H,Sessions!$E:$E,A32)</f>
        <v>1</v>
      </c>
      <c r="D32">
        <f>COUNTIF(Sessions!$E:$E,A32)</f>
        <v>2</v>
      </c>
    </row>
    <row r="33" spans="1:4" x14ac:dyDescent="0.3">
      <c r="A33" s="3">
        <f t="shared" si="1"/>
        <v>44593</v>
      </c>
      <c r="B33">
        <f t="shared" si="0"/>
        <v>2</v>
      </c>
      <c r="C33">
        <f>SUMIFS(Sessions!$H:$H,Sessions!$E:$E,A33)</f>
        <v>1</v>
      </c>
      <c r="D33">
        <f>COUNTIF(Sessions!$E:$E,A33)</f>
        <v>2</v>
      </c>
    </row>
    <row r="34" spans="1:4" x14ac:dyDescent="0.3">
      <c r="A34" s="3">
        <f t="shared" si="1"/>
        <v>44594</v>
      </c>
      <c r="B34">
        <f t="shared" si="0"/>
        <v>2</v>
      </c>
      <c r="C34">
        <f>SUMIFS(Sessions!$H:$H,Sessions!$E:$E,A34)</f>
        <v>1</v>
      </c>
      <c r="D34">
        <f>COUNTIF(Sessions!$E:$E,A34)</f>
        <v>1</v>
      </c>
    </row>
    <row r="35" spans="1:4" x14ac:dyDescent="0.3">
      <c r="A35" s="3">
        <f t="shared" si="1"/>
        <v>44595</v>
      </c>
      <c r="B35">
        <f t="shared" si="0"/>
        <v>2</v>
      </c>
      <c r="C35">
        <f>SUMIFS(Sessions!$H:$H,Sessions!$E:$E,A35)</f>
        <v>0</v>
      </c>
      <c r="D35">
        <f>COUNTIF(Sessions!$E:$E,A35)</f>
        <v>0</v>
      </c>
    </row>
    <row r="36" spans="1:4" x14ac:dyDescent="0.3">
      <c r="A36" s="3">
        <f t="shared" si="1"/>
        <v>44596</v>
      </c>
      <c r="B36">
        <f t="shared" si="0"/>
        <v>2</v>
      </c>
      <c r="C36">
        <f>SUMIFS(Sessions!$H:$H,Sessions!$E:$E,A36)</f>
        <v>1</v>
      </c>
      <c r="D36">
        <f>COUNTIF(Sessions!$E:$E,A36)</f>
        <v>2</v>
      </c>
    </row>
    <row r="37" spans="1:4" x14ac:dyDescent="0.3">
      <c r="A37" s="3">
        <f t="shared" si="1"/>
        <v>44597</v>
      </c>
      <c r="B37">
        <f t="shared" si="0"/>
        <v>2</v>
      </c>
      <c r="C37">
        <f>SUMIFS(Sessions!$H:$H,Sessions!$E:$E,A37)</f>
        <v>1</v>
      </c>
      <c r="D37">
        <f>COUNTIF(Sessions!$E:$E,A37)</f>
        <v>1</v>
      </c>
    </row>
    <row r="38" spans="1:4" x14ac:dyDescent="0.3">
      <c r="A38" s="3">
        <f t="shared" si="1"/>
        <v>44598</v>
      </c>
      <c r="B38">
        <f t="shared" si="0"/>
        <v>2</v>
      </c>
      <c r="C38">
        <f>SUMIFS(Sessions!$H:$H,Sessions!$E:$E,A38)</f>
        <v>1</v>
      </c>
      <c r="D38">
        <f>COUNTIF(Sessions!$E:$E,A38)</f>
        <v>1</v>
      </c>
    </row>
    <row r="39" spans="1:4" x14ac:dyDescent="0.3">
      <c r="A39" s="3">
        <f t="shared" si="1"/>
        <v>44599</v>
      </c>
      <c r="B39">
        <f t="shared" si="0"/>
        <v>2</v>
      </c>
      <c r="C39">
        <f>SUMIFS(Sessions!$H:$H,Sessions!$E:$E,A39)</f>
        <v>1</v>
      </c>
      <c r="D39">
        <f>COUNTIF(Sessions!$E:$E,A39)</f>
        <v>1</v>
      </c>
    </row>
    <row r="40" spans="1:4" x14ac:dyDescent="0.3">
      <c r="A40" s="3">
        <f t="shared" si="1"/>
        <v>44600</v>
      </c>
      <c r="B40">
        <f t="shared" si="0"/>
        <v>2</v>
      </c>
      <c r="C40">
        <f>SUMIFS(Sessions!$H:$H,Sessions!$E:$E,A40)</f>
        <v>0</v>
      </c>
      <c r="D40">
        <f>COUNTIF(Sessions!$E:$E,A40)</f>
        <v>0</v>
      </c>
    </row>
    <row r="41" spans="1:4" x14ac:dyDescent="0.3">
      <c r="A41" s="3">
        <f t="shared" si="1"/>
        <v>44601</v>
      </c>
      <c r="B41">
        <f t="shared" si="0"/>
        <v>2</v>
      </c>
      <c r="C41">
        <f>SUMIFS(Sessions!$H:$H,Sessions!$E:$E,A41)</f>
        <v>0</v>
      </c>
      <c r="D41">
        <f>COUNTIF(Sessions!$E:$E,A41)</f>
        <v>0</v>
      </c>
    </row>
    <row r="42" spans="1:4" x14ac:dyDescent="0.3">
      <c r="A42" s="3">
        <f t="shared" si="1"/>
        <v>44602</v>
      </c>
      <c r="B42">
        <f t="shared" si="0"/>
        <v>2</v>
      </c>
      <c r="C42">
        <f>SUMIFS(Sessions!$H:$H,Sessions!$E:$E,A42)</f>
        <v>0</v>
      </c>
      <c r="D42">
        <f>COUNTIF(Sessions!$E:$E,A42)</f>
        <v>0</v>
      </c>
    </row>
    <row r="43" spans="1:4" x14ac:dyDescent="0.3">
      <c r="A43" s="3">
        <f t="shared" si="1"/>
        <v>44603</v>
      </c>
      <c r="B43">
        <f t="shared" si="0"/>
        <v>2</v>
      </c>
      <c r="C43">
        <f>SUMIFS(Sessions!$H:$H,Sessions!$E:$E,A43)</f>
        <v>1</v>
      </c>
      <c r="D43">
        <f>COUNTIF(Sessions!$E:$E,A43)</f>
        <v>2</v>
      </c>
    </row>
    <row r="44" spans="1:4" x14ac:dyDescent="0.3">
      <c r="A44" s="3">
        <f t="shared" si="1"/>
        <v>44604</v>
      </c>
      <c r="B44">
        <f t="shared" si="0"/>
        <v>2</v>
      </c>
      <c r="C44">
        <f>SUMIFS(Sessions!$H:$H,Sessions!$E:$E,A44)</f>
        <v>1</v>
      </c>
      <c r="D44">
        <f>COUNTIF(Sessions!$E:$E,A44)</f>
        <v>3</v>
      </c>
    </row>
    <row r="45" spans="1:4" x14ac:dyDescent="0.3">
      <c r="A45" s="3">
        <f t="shared" si="1"/>
        <v>44605</v>
      </c>
      <c r="B45">
        <f t="shared" si="0"/>
        <v>2</v>
      </c>
      <c r="C45">
        <f>SUMIFS(Sessions!$H:$H,Sessions!$E:$E,A45)</f>
        <v>0</v>
      </c>
      <c r="D45">
        <f>COUNTIF(Sessions!$E:$E,A45)</f>
        <v>0</v>
      </c>
    </row>
    <row r="46" spans="1:4" x14ac:dyDescent="0.3">
      <c r="A46" s="3">
        <f t="shared" si="1"/>
        <v>44606</v>
      </c>
      <c r="B46">
        <f t="shared" si="0"/>
        <v>2</v>
      </c>
      <c r="C46">
        <f>SUMIFS(Sessions!$H:$H,Sessions!$E:$E,A46)</f>
        <v>0</v>
      </c>
      <c r="D46">
        <f>COUNTIF(Sessions!$E:$E,A46)</f>
        <v>0</v>
      </c>
    </row>
    <row r="47" spans="1:4" x14ac:dyDescent="0.3">
      <c r="A47" s="3">
        <f t="shared" si="1"/>
        <v>44607</v>
      </c>
      <c r="B47">
        <f t="shared" si="0"/>
        <v>2</v>
      </c>
      <c r="C47">
        <f>SUMIFS(Sessions!$H:$H,Sessions!$E:$E,A47)</f>
        <v>0</v>
      </c>
      <c r="D47">
        <f>COUNTIF(Sessions!$E:$E,A47)</f>
        <v>0</v>
      </c>
    </row>
    <row r="48" spans="1:4" x14ac:dyDescent="0.3">
      <c r="A48" s="3">
        <f t="shared" si="1"/>
        <v>44608</v>
      </c>
      <c r="B48">
        <f t="shared" si="0"/>
        <v>2</v>
      </c>
      <c r="C48">
        <f>SUMIFS(Sessions!$H:$H,Sessions!$E:$E,A48)</f>
        <v>0</v>
      </c>
      <c r="D48">
        <f>COUNTIF(Sessions!$E:$E,A48)</f>
        <v>0</v>
      </c>
    </row>
    <row r="49" spans="1:4" x14ac:dyDescent="0.3">
      <c r="A49" s="3">
        <f t="shared" si="1"/>
        <v>44609</v>
      </c>
      <c r="B49">
        <f t="shared" si="0"/>
        <v>2</v>
      </c>
      <c r="C49">
        <f>SUMIFS(Sessions!$H:$H,Sessions!$E:$E,A49)</f>
        <v>0</v>
      </c>
      <c r="D49">
        <f>COUNTIF(Sessions!$E:$E,A49)</f>
        <v>0</v>
      </c>
    </row>
    <row r="50" spans="1:4" x14ac:dyDescent="0.3">
      <c r="A50" s="3">
        <f t="shared" si="1"/>
        <v>44610</v>
      </c>
      <c r="B50">
        <f t="shared" si="0"/>
        <v>2</v>
      </c>
      <c r="C50">
        <f>SUMIFS(Sessions!$H:$H,Sessions!$E:$E,A50)</f>
        <v>0</v>
      </c>
      <c r="D50">
        <f>COUNTIF(Sessions!$E:$E,A50)</f>
        <v>0</v>
      </c>
    </row>
    <row r="51" spans="1:4" x14ac:dyDescent="0.3">
      <c r="A51" s="3">
        <f t="shared" si="1"/>
        <v>44611</v>
      </c>
      <c r="B51">
        <f t="shared" si="0"/>
        <v>2</v>
      </c>
      <c r="C51">
        <f>SUMIFS(Sessions!$H:$H,Sessions!$E:$E,A51)</f>
        <v>1</v>
      </c>
      <c r="D51">
        <f>COUNTIF(Sessions!$E:$E,A51)</f>
        <v>1</v>
      </c>
    </row>
    <row r="52" spans="1:4" x14ac:dyDescent="0.3">
      <c r="A52" s="3">
        <f t="shared" si="1"/>
        <v>44612</v>
      </c>
      <c r="B52">
        <f t="shared" si="0"/>
        <v>2</v>
      </c>
      <c r="C52">
        <f>SUMIFS(Sessions!$H:$H,Sessions!$E:$E,A52)</f>
        <v>1</v>
      </c>
      <c r="D52">
        <f>COUNTIF(Sessions!$E:$E,A52)</f>
        <v>1</v>
      </c>
    </row>
    <row r="53" spans="1:4" x14ac:dyDescent="0.3">
      <c r="A53" s="3">
        <f t="shared" si="1"/>
        <v>44613</v>
      </c>
      <c r="B53">
        <f t="shared" si="0"/>
        <v>2</v>
      </c>
      <c r="C53">
        <f>SUMIFS(Sessions!$H:$H,Sessions!$E:$E,A53)</f>
        <v>1</v>
      </c>
      <c r="D53">
        <f>COUNTIF(Sessions!$E:$E,A53)</f>
        <v>1</v>
      </c>
    </row>
    <row r="54" spans="1:4" x14ac:dyDescent="0.3">
      <c r="A54" s="3">
        <f t="shared" si="1"/>
        <v>44614</v>
      </c>
      <c r="B54">
        <f t="shared" si="0"/>
        <v>2</v>
      </c>
      <c r="C54">
        <f>SUMIFS(Sessions!$H:$H,Sessions!$E:$E,A54)</f>
        <v>0</v>
      </c>
      <c r="D54">
        <f>COUNTIF(Sessions!$E:$E,A54)</f>
        <v>0</v>
      </c>
    </row>
    <row r="55" spans="1:4" x14ac:dyDescent="0.3">
      <c r="A55" s="3">
        <f t="shared" si="1"/>
        <v>44615</v>
      </c>
      <c r="B55">
        <f t="shared" si="0"/>
        <v>2</v>
      </c>
      <c r="C55">
        <f>SUMIFS(Sessions!$H:$H,Sessions!$E:$E,A55)</f>
        <v>0</v>
      </c>
      <c r="D55">
        <f>COUNTIF(Sessions!$E:$E,A55)</f>
        <v>0</v>
      </c>
    </row>
    <row r="56" spans="1:4" x14ac:dyDescent="0.3">
      <c r="A56" s="3">
        <f t="shared" si="1"/>
        <v>44616</v>
      </c>
      <c r="B56">
        <f t="shared" si="0"/>
        <v>2</v>
      </c>
      <c r="C56">
        <f>SUMIFS(Sessions!$H:$H,Sessions!$E:$E,A56)</f>
        <v>1</v>
      </c>
      <c r="D56">
        <f>COUNTIF(Sessions!$E:$E,A56)</f>
        <v>2</v>
      </c>
    </row>
    <row r="57" spans="1:4" x14ac:dyDescent="0.3">
      <c r="A57" s="3">
        <f t="shared" si="1"/>
        <v>44617</v>
      </c>
      <c r="B57">
        <f t="shared" si="0"/>
        <v>2</v>
      </c>
      <c r="C57">
        <f>SUMIFS(Sessions!$H:$H,Sessions!$E:$E,A57)</f>
        <v>1</v>
      </c>
      <c r="D57">
        <f>COUNTIF(Sessions!$E:$E,A57)</f>
        <v>2</v>
      </c>
    </row>
    <row r="58" spans="1:4" x14ac:dyDescent="0.3">
      <c r="A58" s="3">
        <f t="shared" si="1"/>
        <v>44618</v>
      </c>
      <c r="B58">
        <f t="shared" si="0"/>
        <v>2</v>
      </c>
      <c r="C58">
        <f>SUMIFS(Sessions!$H:$H,Sessions!$E:$E,A58)</f>
        <v>1</v>
      </c>
      <c r="D58">
        <f>COUNTIF(Sessions!$E:$E,A58)</f>
        <v>1</v>
      </c>
    </row>
    <row r="59" spans="1:4" x14ac:dyDescent="0.3">
      <c r="A59" s="3">
        <f t="shared" si="1"/>
        <v>44619</v>
      </c>
      <c r="B59">
        <f t="shared" si="0"/>
        <v>2</v>
      </c>
      <c r="C59">
        <f>SUMIFS(Sessions!$H:$H,Sessions!$E:$E,A59)</f>
        <v>0</v>
      </c>
      <c r="D59">
        <f>COUNTIF(Sessions!$E:$E,A59)</f>
        <v>0</v>
      </c>
    </row>
    <row r="60" spans="1:4" x14ac:dyDescent="0.3">
      <c r="A60" s="3">
        <f t="shared" si="1"/>
        <v>44620</v>
      </c>
      <c r="B60">
        <f t="shared" si="0"/>
        <v>2</v>
      </c>
      <c r="C60">
        <f>SUMIFS(Sessions!$H:$H,Sessions!$E:$E,A60)</f>
        <v>0</v>
      </c>
      <c r="D60">
        <f>COUNTIF(Sessions!$E:$E,A60)</f>
        <v>0</v>
      </c>
    </row>
    <row r="61" spans="1:4" x14ac:dyDescent="0.3">
      <c r="A61" s="3">
        <f t="shared" si="1"/>
        <v>44621</v>
      </c>
      <c r="B61">
        <f t="shared" si="0"/>
        <v>3</v>
      </c>
      <c r="C61">
        <f>SUMIFS(Sessions!$H:$H,Sessions!$E:$E,A61)</f>
        <v>0</v>
      </c>
      <c r="D61">
        <f>COUNTIF(Sessions!$E:$E,A61)</f>
        <v>0</v>
      </c>
    </row>
    <row r="62" spans="1:4" x14ac:dyDescent="0.3">
      <c r="A62" s="3">
        <f t="shared" si="1"/>
        <v>44622</v>
      </c>
      <c r="B62">
        <f t="shared" si="0"/>
        <v>3</v>
      </c>
      <c r="C62">
        <f>SUMIFS(Sessions!$H:$H,Sessions!$E:$E,A62)</f>
        <v>2</v>
      </c>
      <c r="D62">
        <f>COUNTIF(Sessions!$E:$E,A62)</f>
        <v>7</v>
      </c>
    </row>
    <row r="63" spans="1:4" x14ac:dyDescent="0.3">
      <c r="A63" s="3">
        <f t="shared" si="1"/>
        <v>44623</v>
      </c>
      <c r="B63">
        <f t="shared" si="0"/>
        <v>3</v>
      </c>
      <c r="C63">
        <f>SUMIFS(Sessions!$H:$H,Sessions!$E:$E,A63)</f>
        <v>2</v>
      </c>
      <c r="D63">
        <f>COUNTIF(Sessions!$E:$E,A63)</f>
        <v>3</v>
      </c>
    </row>
    <row r="64" spans="1:4" x14ac:dyDescent="0.3">
      <c r="A64" s="3">
        <f t="shared" si="1"/>
        <v>44624</v>
      </c>
      <c r="B64">
        <f t="shared" si="0"/>
        <v>3</v>
      </c>
      <c r="C64">
        <f>SUMIFS(Sessions!$H:$H,Sessions!$E:$E,A64)</f>
        <v>0</v>
      </c>
      <c r="D64">
        <f>COUNTIF(Sessions!$E:$E,A64)</f>
        <v>0</v>
      </c>
    </row>
    <row r="65" spans="1:4" x14ac:dyDescent="0.3">
      <c r="A65" s="3">
        <f t="shared" si="1"/>
        <v>44625</v>
      </c>
      <c r="B65">
        <f t="shared" si="0"/>
        <v>3</v>
      </c>
      <c r="C65">
        <f>SUMIFS(Sessions!$H:$H,Sessions!$E:$E,A65)</f>
        <v>0</v>
      </c>
      <c r="D65">
        <f>COUNTIF(Sessions!$E:$E,A65)</f>
        <v>0</v>
      </c>
    </row>
    <row r="66" spans="1:4" x14ac:dyDescent="0.3">
      <c r="A66" s="3">
        <f t="shared" si="1"/>
        <v>44626</v>
      </c>
      <c r="B66">
        <f t="shared" ref="B66:B129" si="2">MONTH(A66)</f>
        <v>3</v>
      </c>
      <c r="C66">
        <f>SUMIFS(Sessions!$H:$H,Sessions!$E:$E,A66)</f>
        <v>0</v>
      </c>
      <c r="D66">
        <f>COUNTIF(Sessions!$E:$E,A66)</f>
        <v>0</v>
      </c>
    </row>
    <row r="67" spans="1:4" x14ac:dyDescent="0.3">
      <c r="A67" s="3">
        <f t="shared" ref="A67:A130" si="3">A66+1</f>
        <v>44627</v>
      </c>
      <c r="B67">
        <f t="shared" si="2"/>
        <v>3</v>
      </c>
      <c r="C67">
        <f>SUMIFS(Sessions!$H:$H,Sessions!$E:$E,A67)</f>
        <v>0</v>
      </c>
      <c r="D67">
        <f>COUNTIF(Sessions!$E:$E,A67)</f>
        <v>0</v>
      </c>
    </row>
    <row r="68" spans="1:4" x14ac:dyDescent="0.3">
      <c r="A68" s="3">
        <f t="shared" si="3"/>
        <v>44628</v>
      </c>
      <c r="B68">
        <f t="shared" si="2"/>
        <v>3</v>
      </c>
      <c r="C68">
        <f>SUMIFS(Sessions!$H:$H,Sessions!$E:$E,A68)</f>
        <v>1</v>
      </c>
      <c r="D68">
        <f>COUNTIF(Sessions!$E:$E,A68)</f>
        <v>2</v>
      </c>
    </row>
    <row r="69" spans="1:4" x14ac:dyDescent="0.3">
      <c r="A69" s="3">
        <f t="shared" si="3"/>
        <v>44629</v>
      </c>
      <c r="B69">
        <f t="shared" si="2"/>
        <v>3</v>
      </c>
      <c r="C69">
        <f>SUMIFS(Sessions!$H:$H,Sessions!$E:$E,A69)</f>
        <v>2</v>
      </c>
      <c r="D69">
        <f>COUNTIF(Sessions!$E:$E,A69)</f>
        <v>2</v>
      </c>
    </row>
    <row r="70" spans="1:4" x14ac:dyDescent="0.3">
      <c r="A70" s="3">
        <f t="shared" si="3"/>
        <v>44630</v>
      </c>
      <c r="B70">
        <f t="shared" si="2"/>
        <v>3</v>
      </c>
      <c r="C70">
        <f>SUMIFS(Sessions!$H:$H,Sessions!$E:$E,A70)</f>
        <v>0</v>
      </c>
      <c r="D70">
        <f>COUNTIF(Sessions!$E:$E,A70)</f>
        <v>0</v>
      </c>
    </row>
    <row r="71" spans="1:4" x14ac:dyDescent="0.3">
      <c r="A71" s="3">
        <f t="shared" si="3"/>
        <v>44631</v>
      </c>
      <c r="B71">
        <f t="shared" si="2"/>
        <v>3</v>
      </c>
      <c r="C71">
        <f>SUMIFS(Sessions!$H:$H,Sessions!$E:$E,A71)</f>
        <v>0</v>
      </c>
      <c r="D71">
        <f>COUNTIF(Sessions!$E:$E,A71)</f>
        <v>0</v>
      </c>
    </row>
    <row r="72" spans="1:4" x14ac:dyDescent="0.3">
      <c r="A72" s="3">
        <f t="shared" si="3"/>
        <v>44632</v>
      </c>
      <c r="B72">
        <f t="shared" si="2"/>
        <v>3</v>
      </c>
      <c r="C72">
        <f>SUMIFS(Sessions!$H:$H,Sessions!$E:$E,A72)</f>
        <v>0</v>
      </c>
      <c r="D72">
        <f>COUNTIF(Sessions!$E:$E,A72)</f>
        <v>0</v>
      </c>
    </row>
    <row r="73" spans="1:4" x14ac:dyDescent="0.3">
      <c r="A73" s="3">
        <f t="shared" si="3"/>
        <v>44633</v>
      </c>
      <c r="B73">
        <f t="shared" si="2"/>
        <v>3</v>
      </c>
      <c r="C73">
        <f>SUMIFS(Sessions!$H:$H,Sessions!$E:$E,A73)</f>
        <v>0</v>
      </c>
      <c r="D73">
        <f>COUNTIF(Sessions!$E:$E,A73)</f>
        <v>0</v>
      </c>
    </row>
    <row r="74" spans="1:4" x14ac:dyDescent="0.3">
      <c r="A74" s="3">
        <f t="shared" si="3"/>
        <v>44634</v>
      </c>
      <c r="B74">
        <f t="shared" si="2"/>
        <v>3</v>
      </c>
      <c r="C74">
        <f>SUMIFS(Sessions!$H:$H,Sessions!$E:$E,A74)</f>
        <v>0</v>
      </c>
      <c r="D74">
        <f>COUNTIF(Sessions!$E:$E,A74)</f>
        <v>0</v>
      </c>
    </row>
    <row r="75" spans="1:4" x14ac:dyDescent="0.3">
      <c r="A75" s="3">
        <f t="shared" si="3"/>
        <v>44635</v>
      </c>
      <c r="B75">
        <f t="shared" si="2"/>
        <v>3</v>
      </c>
      <c r="C75">
        <f>SUMIFS(Sessions!$H:$H,Sessions!$E:$E,A75)</f>
        <v>1</v>
      </c>
      <c r="D75">
        <f>COUNTIF(Sessions!$E:$E,A75)</f>
        <v>1</v>
      </c>
    </row>
    <row r="76" spans="1:4" x14ac:dyDescent="0.3">
      <c r="A76" s="3">
        <f t="shared" si="3"/>
        <v>44636</v>
      </c>
      <c r="B76">
        <f t="shared" si="2"/>
        <v>3</v>
      </c>
      <c r="C76">
        <f>SUMIFS(Sessions!$H:$H,Sessions!$E:$E,A76)</f>
        <v>0</v>
      </c>
      <c r="D76">
        <f>COUNTIF(Sessions!$E:$E,A76)</f>
        <v>0</v>
      </c>
    </row>
    <row r="77" spans="1:4" x14ac:dyDescent="0.3">
      <c r="A77" s="3">
        <f t="shared" si="3"/>
        <v>44637</v>
      </c>
      <c r="B77">
        <f t="shared" si="2"/>
        <v>3</v>
      </c>
      <c r="C77">
        <f>SUMIFS(Sessions!$H:$H,Sessions!$E:$E,A77)</f>
        <v>0</v>
      </c>
      <c r="D77">
        <f>COUNTIF(Sessions!$E:$E,A77)</f>
        <v>0</v>
      </c>
    </row>
    <row r="78" spans="1:4" x14ac:dyDescent="0.3">
      <c r="A78" s="3">
        <f t="shared" si="3"/>
        <v>44638</v>
      </c>
      <c r="B78">
        <f t="shared" si="2"/>
        <v>3</v>
      </c>
      <c r="C78">
        <f>SUMIFS(Sessions!$H:$H,Sessions!$E:$E,A78)</f>
        <v>0</v>
      </c>
      <c r="D78">
        <f>COUNTIF(Sessions!$E:$E,A78)</f>
        <v>0</v>
      </c>
    </row>
    <row r="79" spans="1:4" x14ac:dyDescent="0.3">
      <c r="A79" s="3">
        <f t="shared" si="3"/>
        <v>44639</v>
      </c>
      <c r="B79">
        <f t="shared" si="2"/>
        <v>3</v>
      </c>
      <c r="C79">
        <f>SUMIFS(Sessions!$H:$H,Sessions!$E:$E,A79)</f>
        <v>1</v>
      </c>
      <c r="D79">
        <f>COUNTIF(Sessions!$E:$E,A79)</f>
        <v>1</v>
      </c>
    </row>
    <row r="80" spans="1:4" x14ac:dyDescent="0.3">
      <c r="A80" s="3">
        <f t="shared" si="3"/>
        <v>44640</v>
      </c>
      <c r="B80">
        <f t="shared" si="2"/>
        <v>3</v>
      </c>
      <c r="C80">
        <f>SUMIFS(Sessions!$H:$H,Sessions!$E:$E,A80)</f>
        <v>1</v>
      </c>
      <c r="D80">
        <f>COUNTIF(Sessions!$E:$E,A80)</f>
        <v>5</v>
      </c>
    </row>
    <row r="81" spans="1:4" x14ac:dyDescent="0.3">
      <c r="A81" s="3">
        <f t="shared" si="3"/>
        <v>44641</v>
      </c>
      <c r="B81">
        <f t="shared" si="2"/>
        <v>3</v>
      </c>
      <c r="C81">
        <f>SUMIFS(Sessions!$H:$H,Sessions!$E:$E,A81)</f>
        <v>0</v>
      </c>
      <c r="D81">
        <f>COUNTIF(Sessions!$E:$E,A81)</f>
        <v>0</v>
      </c>
    </row>
    <row r="82" spans="1:4" x14ac:dyDescent="0.3">
      <c r="A82" s="3">
        <f t="shared" si="3"/>
        <v>44642</v>
      </c>
      <c r="B82">
        <f t="shared" si="2"/>
        <v>3</v>
      </c>
      <c r="C82">
        <f>SUMIFS(Sessions!$H:$H,Sessions!$E:$E,A82)</f>
        <v>0</v>
      </c>
      <c r="D82">
        <f>COUNTIF(Sessions!$E:$E,A82)</f>
        <v>0</v>
      </c>
    </row>
    <row r="83" spans="1:4" x14ac:dyDescent="0.3">
      <c r="A83" s="3">
        <f t="shared" si="3"/>
        <v>44643</v>
      </c>
      <c r="B83">
        <f t="shared" si="2"/>
        <v>3</v>
      </c>
      <c r="C83">
        <f>SUMIFS(Sessions!$H:$H,Sessions!$E:$E,A83)</f>
        <v>0</v>
      </c>
      <c r="D83">
        <f>COUNTIF(Sessions!$E:$E,A83)</f>
        <v>0</v>
      </c>
    </row>
    <row r="84" spans="1:4" x14ac:dyDescent="0.3">
      <c r="A84" s="3">
        <f t="shared" si="3"/>
        <v>44644</v>
      </c>
      <c r="B84">
        <f t="shared" si="2"/>
        <v>3</v>
      </c>
      <c r="C84">
        <f>SUMIFS(Sessions!$H:$H,Sessions!$E:$E,A84)</f>
        <v>0</v>
      </c>
      <c r="D84">
        <f>COUNTIF(Sessions!$E:$E,A84)</f>
        <v>0</v>
      </c>
    </row>
    <row r="85" spans="1:4" x14ac:dyDescent="0.3">
      <c r="A85" s="3">
        <f t="shared" si="3"/>
        <v>44645</v>
      </c>
      <c r="B85">
        <f t="shared" si="2"/>
        <v>3</v>
      </c>
      <c r="C85">
        <f>SUMIFS(Sessions!$H:$H,Sessions!$E:$E,A85)</f>
        <v>1</v>
      </c>
      <c r="D85">
        <f>COUNTIF(Sessions!$E:$E,A85)</f>
        <v>1</v>
      </c>
    </row>
    <row r="86" spans="1:4" x14ac:dyDescent="0.3">
      <c r="A86" s="3">
        <f t="shared" si="3"/>
        <v>44646</v>
      </c>
      <c r="B86">
        <f t="shared" si="2"/>
        <v>3</v>
      </c>
      <c r="C86">
        <f>SUMIFS(Sessions!$H:$H,Sessions!$E:$E,A86)</f>
        <v>1</v>
      </c>
      <c r="D86">
        <f>COUNTIF(Sessions!$E:$E,A86)</f>
        <v>3</v>
      </c>
    </row>
    <row r="87" spans="1:4" x14ac:dyDescent="0.3">
      <c r="A87" s="3">
        <f t="shared" si="3"/>
        <v>44647</v>
      </c>
      <c r="B87">
        <f t="shared" si="2"/>
        <v>3</v>
      </c>
      <c r="C87">
        <f>SUMIFS(Sessions!$H:$H,Sessions!$E:$E,A87)</f>
        <v>0</v>
      </c>
      <c r="D87">
        <f>COUNTIF(Sessions!$E:$E,A87)</f>
        <v>0</v>
      </c>
    </row>
    <row r="88" spans="1:4" x14ac:dyDescent="0.3">
      <c r="A88" s="3">
        <f t="shared" si="3"/>
        <v>44648</v>
      </c>
      <c r="B88">
        <f t="shared" si="2"/>
        <v>3</v>
      </c>
      <c r="C88">
        <f>SUMIFS(Sessions!$H:$H,Sessions!$E:$E,A88)</f>
        <v>0</v>
      </c>
      <c r="D88">
        <f>COUNTIF(Sessions!$E:$E,A88)</f>
        <v>0</v>
      </c>
    </row>
    <row r="89" spans="1:4" x14ac:dyDescent="0.3">
      <c r="A89" s="3">
        <f t="shared" si="3"/>
        <v>44649</v>
      </c>
      <c r="B89">
        <f t="shared" si="2"/>
        <v>3</v>
      </c>
      <c r="C89">
        <f>SUMIFS(Sessions!$H:$H,Sessions!$E:$E,A89)</f>
        <v>0</v>
      </c>
      <c r="D89">
        <f>COUNTIF(Sessions!$E:$E,A89)</f>
        <v>0</v>
      </c>
    </row>
    <row r="90" spans="1:4" x14ac:dyDescent="0.3">
      <c r="A90" s="3">
        <f t="shared" si="3"/>
        <v>44650</v>
      </c>
      <c r="B90">
        <f t="shared" si="2"/>
        <v>3</v>
      </c>
      <c r="C90">
        <f>SUMIFS(Sessions!$H:$H,Sessions!$E:$E,A90)</f>
        <v>0</v>
      </c>
      <c r="D90">
        <f>COUNTIF(Sessions!$E:$E,A90)</f>
        <v>0</v>
      </c>
    </row>
    <row r="91" spans="1:4" x14ac:dyDescent="0.3">
      <c r="A91" s="3">
        <f t="shared" si="3"/>
        <v>44651</v>
      </c>
      <c r="B91">
        <f t="shared" si="2"/>
        <v>3</v>
      </c>
      <c r="C91">
        <f>SUMIFS(Sessions!$H:$H,Sessions!$E:$E,A91)</f>
        <v>0</v>
      </c>
      <c r="D91">
        <f>COUNTIF(Sessions!$E:$E,A91)</f>
        <v>0</v>
      </c>
    </row>
    <row r="92" spans="1:4" x14ac:dyDescent="0.3">
      <c r="A92" s="3">
        <f t="shared" si="3"/>
        <v>44652</v>
      </c>
      <c r="B92">
        <f t="shared" si="2"/>
        <v>4</v>
      </c>
      <c r="C92">
        <f>SUMIFS(Sessions!$H:$H,Sessions!$E:$E,A92)</f>
        <v>0</v>
      </c>
      <c r="D92">
        <f>COUNTIF(Sessions!$E:$E,A92)</f>
        <v>0</v>
      </c>
    </row>
    <row r="93" spans="1:4" x14ac:dyDescent="0.3">
      <c r="A93" s="3">
        <f t="shared" si="3"/>
        <v>44653</v>
      </c>
      <c r="B93">
        <f t="shared" si="2"/>
        <v>4</v>
      </c>
      <c r="C93">
        <f>SUMIFS(Sessions!$H:$H,Sessions!$E:$E,A93)</f>
        <v>0</v>
      </c>
      <c r="D93">
        <f>COUNTIF(Sessions!$E:$E,A93)</f>
        <v>0</v>
      </c>
    </row>
    <row r="94" spans="1:4" x14ac:dyDescent="0.3">
      <c r="A94" s="3">
        <f t="shared" si="3"/>
        <v>44654</v>
      </c>
      <c r="B94">
        <f t="shared" si="2"/>
        <v>4</v>
      </c>
      <c r="C94">
        <f>SUMIFS(Sessions!$H:$H,Sessions!$E:$E,A94)</f>
        <v>0</v>
      </c>
      <c r="D94">
        <f>COUNTIF(Sessions!$E:$E,A94)</f>
        <v>0</v>
      </c>
    </row>
    <row r="95" spans="1:4" x14ac:dyDescent="0.3">
      <c r="A95" s="3">
        <f t="shared" si="3"/>
        <v>44655</v>
      </c>
      <c r="B95">
        <f t="shared" si="2"/>
        <v>4</v>
      </c>
      <c r="C95">
        <f>SUMIFS(Sessions!$H:$H,Sessions!$E:$E,A95)</f>
        <v>0</v>
      </c>
      <c r="D95">
        <f>COUNTIF(Sessions!$E:$E,A95)</f>
        <v>0</v>
      </c>
    </row>
    <row r="96" spans="1:4" x14ac:dyDescent="0.3">
      <c r="A96" s="3">
        <f t="shared" si="3"/>
        <v>44656</v>
      </c>
      <c r="B96">
        <f t="shared" si="2"/>
        <v>4</v>
      </c>
      <c r="C96">
        <f>SUMIFS(Sessions!$H:$H,Sessions!$E:$E,A96)</f>
        <v>1</v>
      </c>
      <c r="D96">
        <f>COUNTIF(Sessions!$E:$E,A96)</f>
        <v>1</v>
      </c>
    </row>
    <row r="97" spans="1:4" x14ac:dyDescent="0.3">
      <c r="A97" s="3">
        <f t="shared" si="3"/>
        <v>44657</v>
      </c>
      <c r="B97">
        <f t="shared" si="2"/>
        <v>4</v>
      </c>
      <c r="C97">
        <f>SUMIFS(Sessions!$H:$H,Sessions!$E:$E,A97)</f>
        <v>1</v>
      </c>
      <c r="D97">
        <f>COUNTIF(Sessions!$E:$E,A97)</f>
        <v>1</v>
      </c>
    </row>
    <row r="98" spans="1:4" x14ac:dyDescent="0.3">
      <c r="A98" s="3">
        <f t="shared" si="3"/>
        <v>44658</v>
      </c>
      <c r="B98">
        <f t="shared" si="2"/>
        <v>4</v>
      </c>
      <c r="C98">
        <f>SUMIFS(Sessions!$H:$H,Sessions!$E:$E,A98)</f>
        <v>0</v>
      </c>
      <c r="D98">
        <f>COUNTIF(Sessions!$E:$E,A98)</f>
        <v>0</v>
      </c>
    </row>
    <row r="99" spans="1:4" x14ac:dyDescent="0.3">
      <c r="A99" s="3">
        <f t="shared" si="3"/>
        <v>44659</v>
      </c>
      <c r="B99">
        <f t="shared" si="2"/>
        <v>4</v>
      </c>
      <c r="C99">
        <f>SUMIFS(Sessions!$H:$H,Sessions!$E:$E,A99)</f>
        <v>0</v>
      </c>
      <c r="D99">
        <f>COUNTIF(Sessions!$E:$E,A99)</f>
        <v>0</v>
      </c>
    </row>
    <row r="100" spans="1:4" x14ac:dyDescent="0.3">
      <c r="A100" s="3">
        <f t="shared" si="3"/>
        <v>44660</v>
      </c>
      <c r="B100">
        <f t="shared" si="2"/>
        <v>4</v>
      </c>
      <c r="C100">
        <f>SUMIFS(Sessions!$H:$H,Sessions!$E:$E,A100)</f>
        <v>0</v>
      </c>
      <c r="D100">
        <f>COUNTIF(Sessions!$E:$E,A100)</f>
        <v>0</v>
      </c>
    </row>
    <row r="101" spans="1:4" x14ac:dyDescent="0.3">
      <c r="A101" s="3">
        <f t="shared" si="3"/>
        <v>44661</v>
      </c>
      <c r="B101">
        <f t="shared" si="2"/>
        <v>4</v>
      </c>
      <c r="C101">
        <f>SUMIFS(Sessions!$H:$H,Sessions!$E:$E,A101)</f>
        <v>0</v>
      </c>
      <c r="D101">
        <f>COUNTIF(Sessions!$E:$E,A101)</f>
        <v>0</v>
      </c>
    </row>
    <row r="102" spans="1:4" x14ac:dyDescent="0.3">
      <c r="A102" s="3">
        <f t="shared" si="3"/>
        <v>44662</v>
      </c>
      <c r="B102">
        <f t="shared" si="2"/>
        <v>4</v>
      </c>
      <c r="C102">
        <f>SUMIFS(Sessions!$H:$H,Sessions!$E:$E,A102)</f>
        <v>0</v>
      </c>
      <c r="D102">
        <f>COUNTIF(Sessions!$E:$E,A102)</f>
        <v>0</v>
      </c>
    </row>
    <row r="103" spans="1:4" x14ac:dyDescent="0.3">
      <c r="A103" s="3">
        <f t="shared" si="3"/>
        <v>44663</v>
      </c>
      <c r="B103">
        <f t="shared" si="2"/>
        <v>4</v>
      </c>
      <c r="C103">
        <f>SUMIFS(Sessions!$H:$H,Sessions!$E:$E,A103)</f>
        <v>0</v>
      </c>
      <c r="D103">
        <f>COUNTIF(Sessions!$E:$E,A103)</f>
        <v>0</v>
      </c>
    </row>
    <row r="104" spans="1:4" x14ac:dyDescent="0.3">
      <c r="A104" s="3">
        <f t="shared" si="3"/>
        <v>44664</v>
      </c>
      <c r="B104">
        <f t="shared" si="2"/>
        <v>4</v>
      </c>
      <c r="C104">
        <f>SUMIFS(Sessions!$H:$H,Sessions!$E:$E,A104)</f>
        <v>0</v>
      </c>
      <c r="D104">
        <f>COUNTIF(Sessions!$E:$E,A104)</f>
        <v>0</v>
      </c>
    </row>
    <row r="105" spans="1:4" x14ac:dyDescent="0.3">
      <c r="A105" s="3">
        <f t="shared" si="3"/>
        <v>44665</v>
      </c>
      <c r="B105">
        <f t="shared" si="2"/>
        <v>4</v>
      </c>
      <c r="C105">
        <f>SUMIFS(Sessions!$H:$H,Sessions!$E:$E,A105)</f>
        <v>0</v>
      </c>
      <c r="D105">
        <f>COUNTIF(Sessions!$E:$E,A105)</f>
        <v>0</v>
      </c>
    </row>
    <row r="106" spans="1:4" x14ac:dyDescent="0.3">
      <c r="A106" s="3">
        <f t="shared" si="3"/>
        <v>44666</v>
      </c>
      <c r="B106">
        <f t="shared" si="2"/>
        <v>4</v>
      </c>
      <c r="C106">
        <f>SUMIFS(Sessions!$H:$H,Sessions!$E:$E,A106)</f>
        <v>1</v>
      </c>
      <c r="D106">
        <f>COUNTIF(Sessions!$E:$E,A106)</f>
        <v>3</v>
      </c>
    </row>
    <row r="107" spans="1:4" x14ac:dyDescent="0.3">
      <c r="A107" s="3">
        <f t="shared" si="3"/>
        <v>44667</v>
      </c>
      <c r="B107">
        <f t="shared" si="2"/>
        <v>4</v>
      </c>
      <c r="C107">
        <f>SUMIFS(Sessions!$H:$H,Sessions!$E:$E,A107)</f>
        <v>1</v>
      </c>
      <c r="D107">
        <f>COUNTIF(Sessions!$E:$E,A107)</f>
        <v>2</v>
      </c>
    </row>
    <row r="108" spans="1:4" x14ac:dyDescent="0.3">
      <c r="A108" s="3">
        <f t="shared" si="3"/>
        <v>44668</v>
      </c>
      <c r="B108">
        <f t="shared" si="2"/>
        <v>4</v>
      </c>
      <c r="C108">
        <f>SUMIFS(Sessions!$H:$H,Sessions!$E:$E,A108)</f>
        <v>2</v>
      </c>
      <c r="D108">
        <f>COUNTIF(Sessions!$E:$E,A108)</f>
        <v>3</v>
      </c>
    </row>
    <row r="109" spans="1:4" x14ac:dyDescent="0.3">
      <c r="A109" s="3">
        <f t="shared" si="3"/>
        <v>44669</v>
      </c>
      <c r="B109">
        <f t="shared" si="2"/>
        <v>4</v>
      </c>
      <c r="C109">
        <f>SUMIFS(Sessions!$H:$H,Sessions!$E:$E,A109)</f>
        <v>0</v>
      </c>
      <c r="D109">
        <f>COUNTIF(Sessions!$E:$E,A109)</f>
        <v>0</v>
      </c>
    </row>
    <row r="110" spans="1:4" x14ac:dyDescent="0.3">
      <c r="A110" s="3">
        <f t="shared" si="3"/>
        <v>44670</v>
      </c>
      <c r="B110">
        <f t="shared" si="2"/>
        <v>4</v>
      </c>
      <c r="C110">
        <f>SUMIFS(Sessions!$H:$H,Sessions!$E:$E,A110)</f>
        <v>0</v>
      </c>
      <c r="D110">
        <f>COUNTIF(Sessions!$E:$E,A110)</f>
        <v>0</v>
      </c>
    </row>
    <row r="111" spans="1:4" x14ac:dyDescent="0.3">
      <c r="A111" s="3">
        <f t="shared" si="3"/>
        <v>44671</v>
      </c>
      <c r="B111">
        <f t="shared" si="2"/>
        <v>4</v>
      </c>
      <c r="C111">
        <f>SUMIFS(Sessions!$H:$H,Sessions!$E:$E,A111)</f>
        <v>0</v>
      </c>
      <c r="D111">
        <f>COUNTIF(Sessions!$E:$E,A111)</f>
        <v>0</v>
      </c>
    </row>
    <row r="112" spans="1:4" x14ac:dyDescent="0.3">
      <c r="A112" s="3">
        <f t="shared" si="3"/>
        <v>44672</v>
      </c>
      <c r="B112">
        <f t="shared" si="2"/>
        <v>4</v>
      </c>
      <c r="C112">
        <f>SUMIFS(Sessions!$H:$H,Sessions!$E:$E,A112)</f>
        <v>0</v>
      </c>
      <c r="D112">
        <f>COUNTIF(Sessions!$E:$E,A112)</f>
        <v>0</v>
      </c>
    </row>
    <row r="113" spans="1:4" x14ac:dyDescent="0.3">
      <c r="A113" s="3">
        <f t="shared" si="3"/>
        <v>44673</v>
      </c>
      <c r="B113">
        <f t="shared" si="2"/>
        <v>4</v>
      </c>
      <c r="C113">
        <f>SUMIFS(Sessions!$H:$H,Sessions!$E:$E,A113)</f>
        <v>0</v>
      </c>
      <c r="D113">
        <f>COUNTIF(Sessions!$E:$E,A113)</f>
        <v>0</v>
      </c>
    </row>
    <row r="114" spans="1:4" x14ac:dyDescent="0.3">
      <c r="A114" s="3">
        <f t="shared" si="3"/>
        <v>44674</v>
      </c>
      <c r="B114">
        <f t="shared" si="2"/>
        <v>4</v>
      </c>
      <c r="C114">
        <f>SUMIFS(Sessions!$H:$H,Sessions!$E:$E,A114)</f>
        <v>1</v>
      </c>
      <c r="D114">
        <f>COUNTIF(Sessions!$E:$E,A114)</f>
        <v>1</v>
      </c>
    </row>
    <row r="115" spans="1:4" x14ac:dyDescent="0.3">
      <c r="A115" s="3">
        <f t="shared" si="3"/>
        <v>44675</v>
      </c>
      <c r="B115">
        <f t="shared" si="2"/>
        <v>4</v>
      </c>
      <c r="C115">
        <f>SUMIFS(Sessions!$H:$H,Sessions!$E:$E,A115)</f>
        <v>2</v>
      </c>
      <c r="D115">
        <f>COUNTIF(Sessions!$E:$E,A115)</f>
        <v>4</v>
      </c>
    </row>
    <row r="116" spans="1:4" x14ac:dyDescent="0.3">
      <c r="A116" s="3">
        <f t="shared" si="3"/>
        <v>44676</v>
      </c>
      <c r="B116">
        <f t="shared" si="2"/>
        <v>4</v>
      </c>
      <c r="C116">
        <f>SUMIFS(Sessions!$H:$H,Sessions!$E:$E,A116)</f>
        <v>1</v>
      </c>
      <c r="D116">
        <f>COUNTIF(Sessions!$E:$E,A116)</f>
        <v>1</v>
      </c>
    </row>
    <row r="117" spans="1:4" x14ac:dyDescent="0.3">
      <c r="A117" s="3">
        <f t="shared" si="3"/>
        <v>44677</v>
      </c>
      <c r="B117">
        <f t="shared" si="2"/>
        <v>4</v>
      </c>
      <c r="C117">
        <f>SUMIFS(Sessions!$H:$H,Sessions!$E:$E,A117)</f>
        <v>0</v>
      </c>
      <c r="D117">
        <f>COUNTIF(Sessions!$E:$E,A117)</f>
        <v>0</v>
      </c>
    </row>
    <row r="118" spans="1:4" x14ac:dyDescent="0.3">
      <c r="A118" s="3">
        <f t="shared" si="3"/>
        <v>44678</v>
      </c>
      <c r="B118">
        <f t="shared" si="2"/>
        <v>4</v>
      </c>
      <c r="C118">
        <f>SUMIFS(Sessions!$H:$H,Sessions!$E:$E,A118)</f>
        <v>2</v>
      </c>
      <c r="D118">
        <f>COUNTIF(Sessions!$E:$E,A118)</f>
        <v>7</v>
      </c>
    </row>
    <row r="119" spans="1:4" x14ac:dyDescent="0.3">
      <c r="A119" s="3">
        <f t="shared" si="3"/>
        <v>44679</v>
      </c>
      <c r="B119">
        <f t="shared" si="2"/>
        <v>4</v>
      </c>
      <c r="C119">
        <f>SUMIFS(Sessions!$H:$H,Sessions!$E:$E,A119)</f>
        <v>1</v>
      </c>
      <c r="D119">
        <f>COUNTIF(Sessions!$E:$E,A119)</f>
        <v>2</v>
      </c>
    </row>
    <row r="120" spans="1:4" x14ac:dyDescent="0.3">
      <c r="A120" s="3">
        <f t="shared" si="3"/>
        <v>44680</v>
      </c>
      <c r="B120">
        <f t="shared" si="2"/>
        <v>4</v>
      </c>
      <c r="C120">
        <f>SUMIFS(Sessions!$H:$H,Sessions!$E:$E,A120)</f>
        <v>0</v>
      </c>
      <c r="D120">
        <f>COUNTIF(Sessions!$E:$E,A120)</f>
        <v>0</v>
      </c>
    </row>
    <row r="121" spans="1:4" x14ac:dyDescent="0.3">
      <c r="A121" s="3">
        <f t="shared" si="3"/>
        <v>44681</v>
      </c>
      <c r="B121">
        <f t="shared" si="2"/>
        <v>4</v>
      </c>
      <c r="C121">
        <f>SUMIFS(Sessions!$H:$H,Sessions!$E:$E,A121)</f>
        <v>1</v>
      </c>
      <c r="D121">
        <f>COUNTIF(Sessions!$E:$E,A121)</f>
        <v>1</v>
      </c>
    </row>
    <row r="122" spans="1:4" x14ac:dyDescent="0.3">
      <c r="A122" s="3">
        <f t="shared" si="3"/>
        <v>44682</v>
      </c>
      <c r="B122">
        <f t="shared" si="2"/>
        <v>5</v>
      </c>
      <c r="C122">
        <f>SUMIFS(Sessions!$H:$H,Sessions!$E:$E,A122)</f>
        <v>1</v>
      </c>
      <c r="D122">
        <f>COUNTIF(Sessions!$E:$E,A122)</f>
        <v>1</v>
      </c>
    </row>
    <row r="123" spans="1:4" x14ac:dyDescent="0.3">
      <c r="A123" s="3">
        <f t="shared" si="3"/>
        <v>44683</v>
      </c>
      <c r="B123">
        <f t="shared" si="2"/>
        <v>5</v>
      </c>
      <c r="C123">
        <f>SUMIFS(Sessions!$H:$H,Sessions!$E:$E,A123)</f>
        <v>0</v>
      </c>
      <c r="D123">
        <f>COUNTIF(Sessions!$E:$E,A123)</f>
        <v>0</v>
      </c>
    </row>
    <row r="124" spans="1:4" x14ac:dyDescent="0.3">
      <c r="A124" s="3">
        <f t="shared" si="3"/>
        <v>44684</v>
      </c>
      <c r="B124">
        <f t="shared" si="2"/>
        <v>5</v>
      </c>
      <c r="C124">
        <f>SUMIFS(Sessions!$H:$H,Sessions!$E:$E,A124)</f>
        <v>1</v>
      </c>
      <c r="D124">
        <f>COUNTIF(Sessions!$E:$E,A124)</f>
        <v>1</v>
      </c>
    </row>
    <row r="125" spans="1:4" x14ac:dyDescent="0.3">
      <c r="A125" s="3">
        <f t="shared" si="3"/>
        <v>44685</v>
      </c>
      <c r="B125">
        <f t="shared" si="2"/>
        <v>5</v>
      </c>
      <c r="C125">
        <f>SUMIFS(Sessions!$H:$H,Sessions!$E:$E,A125)</f>
        <v>1</v>
      </c>
      <c r="D125">
        <f>COUNTIF(Sessions!$E:$E,A125)</f>
        <v>4</v>
      </c>
    </row>
    <row r="126" spans="1:4" x14ac:dyDescent="0.3">
      <c r="A126" s="3">
        <f t="shared" si="3"/>
        <v>44686</v>
      </c>
      <c r="B126">
        <f t="shared" si="2"/>
        <v>5</v>
      </c>
      <c r="C126">
        <f>SUMIFS(Sessions!$H:$H,Sessions!$E:$E,A126)</f>
        <v>0</v>
      </c>
      <c r="D126">
        <f>COUNTIF(Sessions!$E:$E,A126)</f>
        <v>0</v>
      </c>
    </row>
    <row r="127" spans="1:4" x14ac:dyDescent="0.3">
      <c r="A127" s="3">
        <f t="shared" si="3"/>
        <v>44687</v>
      </c>
      <c r="B127">
        <f t="shared" si="2"/>
        <v>5</v>
      </c>
      <c r="C127">
        <f>SUMIFS(Sessions!$H:$H,Sessions!$E:$E,A127)</f>
        <v>1</v>
      </c>
      <c r="D127">
        <f>COUNTIF(Sessions!$E:$E,A127)</f>
        <v>2</v>
      </c>
    </row>
    <row r="128" spans="1:4" x14ac:dyDescent="0.3">
      <c r="A128" s="3">
        <f t="shared" si="3"/>
        <v>44688</v>
      </c>
      <c r="B128">
        <f t="shared" si="2"/>
        <v>5</v>
      </c>
      <c r="C128">
        <f>SUMIFS(Sessions!$H:$H,Sessions!$E:$E,A128)</f>
        <v>1</v>
      </c>
      <c r="D128">
        <f>COUNTIF(Sessions!$E:$E,A128)</f>
        <v>1</v>
      </c>
    </row>
    <row r="129" spans="1:4" x14ac:dyDescent="0.3">
      <c r="A129" s="3">
        <f t="shared" si="3"/>
        <v>44689</v>
      </c>
      <c r="B129">
        <f t="shared" si="2"/>
        <v>5</v>
      </c>
      <c r="C129">
        <f>SUMIFS(Sessions!$H:$H,Sessions!$E:$E,A129)</f>
        <v>0</v>
      </c>
      <c r="D129">
        <f>COUNTIF(Sessions!$E:$E,A129)</f>
        <v>0</v>
      </c>
    </row>
    <row r="130" spans="1:4" x14ac:dyDescent="0.3">
      <c r="A130" s="3">
        <f t="shared" si="3"/>
        <v>44690</v>
      </c>
      <c r="B130">
        <f t="shared" ref="B130:B193" si="4">MONTH(A130)</f>
        <v>5</v>
      </c>
      <c r="C130">
        <f>SUMIFS(Sessions!$H:$H,Sessions!$E:$E,A130)</f>
        <v>0</v>
      </c>
      <c r="D130">
        <f>COUNTIF(Sessions!$E:$E,A130)</f>
        <v>0</v>
      </c>
    </row>
    <row r="131" spans="1:4" x14ac:dyDescent="0.3">
      <c r="A131" s="3">
        <f t="shared" ref="A131:A194" si="5">A130+1</f>
        <v>44691</v>
      </c>
      <c r="B131">
        <f t="shared" si="4"/>
        <v>5</v>
      </c>
      <c r="C131">
        <f>SUMIFS(Sessions!$H:$H,Sessions!$E:$E,A131)</f>
        <v>0</v>
      </c>
      <c r="D131">
        <f>COUNTIF(Sessions!$E:$E,A131)</f>
        <v>0</v>
      </c>
    </row>
    <row r="132" spans="1:4" x14ac:dyDescent="0.3">
      <c r="A132" s="3">
        <f t="shared" si="5"/>
        <v>44692</v>
      </c>
      <c r="B132">
        <f t="shared" si="4"/>
        <v>5</v>
      </c>
      <c r="C132">
        <f>SUMIFS(Sessions!$H:$H,Sessions!$E:$E,A132)</f>
        <v>1</v>
      </c>
      <c r="D132">
        <f>COUNTIF(Sessions!$E:$E,A132)</f>
        <v>1</v>
      </c>
    </row>
    <row r="133" spans="1:4" x14ac:dyDescent="0.3">
      <c r="A133" s="3">
        <f t="shared" si="5"/>
        <v>44693</v>
      </c>
      <c r="B133">
        <f t="shared" si="4"/>
        <v>5</v>
      </c>
      <c r="C133">
        <f>SUMIFS(Sessions!$H:$H,Sessions!$E:$E,A133)</f>
        <v>1</v>
      </c>
      <c r="D133">
        <f>COUNTIF(Sessions!$E:$E,A133)</f>
        <v>3</v>
      </c>
    </row>
    <row r="134" spans="1:4" x14ac:dyDescent="0.3">
      <c r="A134" s="3">
        <f t="shared" si="5"/>
        <v>44694</v>
      </c>
      <c r="B134">
        <f t="shared" si="4"/>
        <v>5</v>
      </c>
      <c r="C134">
        <f>SUMIFS(Sessions!$H:$H,Sessions!$E:$E,A134)</f>
        <v>0</v>
      </c>
      <c r="D134">
        <f>COUNTIF(Sessions!$E:$E,A134)</f>
        <v>0</v>
      </c>
    </row>
    <row r="135" spans="1:4" x14ac:dyDescent="0.3">
      <c r="A135" s="3">
        <f t="shared" si="5"/>
        <v>44695</v>
      </c>
      <c r="B135">
        <f t="shared" si="4"/>
        <v>5</v>
      </c>
      <c r="C135">
        <f>SUMIFS(Sessions!$H:$H,Sessions!$E:$E,A135)</f>
        <v>0</v>
      </c>
      <c r="D135">
        <f>COUNTIF(Sessions!$E:$E,A135)</f>
        <v>0</v>
      </c>
    </row>
    <row r="136" spans="1:4" x14ac:dyDescent="0.3">
      <c r="A136" s="3">
        <f t="shared" si="5"/>
        <v>44696</v>
      </c>
      <c r="B136">
        <f t="shared" si="4"/>
        <v>5</v>
      </c>
      <c r="C136">
        <f>SUMIFS(Sessions!$H:$H,Sessions!$E:$E,A136)</f>
        <v>0</v>
      </c>
      <c r="D136">
        <f>COUNTIF(Sessions!$E:$E,A136)</f>
        <v>0</v>
      </c>
    </row>
    <row r="137" spans="1:4" x14ac:dyDescent="0.3">
      <c r="A137" s="3">
        <f t="shared" si="5"/>
        <v>44697</v>
      </c>
      <c r="B137">
        <f t="shared" si="4"/>
        <v>5</v>
      </c>
      <c r="C137">
        <f>SUMIFS(Sessions!$H:$H,Sessions!$E:$E,A137)</f>
        <v>1</v>
      </c>
      <c r="D137">
        <f>COUNTIF(Sessions!$E:$E,A137)</f>
        <v>1</v>
      </c>
    </row>
    <row r="138" spans="1:4" x14ac:dyDescent="0.3">
      <c r="A138" s="3">
        <f t="shared" si="5"/>
        <v>44698</v>
      </c>
      <c r="B138">
        <f t="shared" si="4"/>
        <v>5</v>
      </c>
      <c r="C138">
        <f>SUMIFS(Sessions!$H:$H,Sessions!$E:$E,A138)</f>
        <v>0</v>
      </c>
      <c r="D138">
        <f>COUNTIF(Sessions!$E:$E,A138)</f>
        <v>0</v>
      </c>
    </row>
    <row r="139" spans="1:4" x14ac:dyDescent="0.3">
      <c r="A139" s="3">
        <f t="shared" si="5"/>
        <v>44699</v>
      </c>
      <c r="B139">
        <f t="shared" si="4"/>
        <v>5</v>
      </c>
      <c r="C139">
        <f>SUMIFS(Sessions!$H:$H,Sessions!$E:$E,A139)</f>
        <v>0</v>
      </c>
      <c r="D139">
        <f>COUNTIF(Sessions!$E:$E,A139)</f>
        <v>0</v>
      </c>
    </row>
    <row r="140" spans="1:4" x14ac:dyDescent="0.3">
      <c r="A140" s="3">
        <f t="shared" si="5"/>
        <v>44700</v>
      </c>
      <c r="B140">
        <f t="shared" si="4"/>
        <v>5</v>
      </c>
      <c r="C140">
        <f>SUMIFS(Sessions!$H:$H,Sessions!$E:$E,A140)</f>
        <v>0</v>
      </c>
      <c r="D140">
        <f>COUNTIF(Sessions!$E:$E,A140)</f>
        <v>0</v>
      </c>
    </row>
    <row r="141" spans="1:4" x14ac:dyDescent="0.3">
      <c r="A141" s="3">
        <f t="shared" si="5"/>
        <v>44701</v>
      </c>
      <c r="B141">
        <f t="shared" si="4"/>
        <v>5</v>
      </c>
      <c r="C141">
        <f>SUMIFS(Sessions!$H:$H,Sessions!$E:$E,A141)</f>
        <v>0</v>
      </c>
      <c r="D141">
        <f>COUNTIF(Sessions!$E:$E,A141)</f>
        <v>0</v>
      </c>
    </row>
    <row r="142" spans="1:4" x14ac:dyDescent="0.3">
      <c r="A142" s="3">
        <f t="shared" si="5"/>
        <v>44702</v>
      </c>
      <c r="B142">
        <f t="shared" si="4"/>
        <v>5</v>
      </c>
      <c r="C142">
        <f>SUMIFS(Sessions!$H:$H,Sessions!$E:$E,A142)</f>
        <v>1</v>
      </c>
      <c r="D142">
        <f>COUNTIF(Sessions!$E:$E,A142)</f>
        <v>7</v>
      </c>
    </row>
    <row r="143" spans="1:4" x14ac:dyDescent="0.3">
      <c r="A143" s="3">
        <f t="shared" si="5"/>
        <v>44703</v>
      </c>
      <c r="B143">
        <f t="shared" si="4"/>
        <v>5</v>
      </c>
      <c r="C143">
        <f>SUMIFS(Sessions!$H:$H,Sessions!$E:$E,A143)</f>
        <v>1</v>
      </c>
      <c r="D143">
        <f>COUNTIF(Sessions!$E:$E,A143)</f>
        <v>5</v>
      </c>
    </row>
    <row r="144" spans="1:4" x14ac:dyDescent="0.3">
      <c r="A144" s="3">
        <f t="shared" si="5"/>
        <v>44704</v>
      </c>
      <c r="B144">
        <f t="shared" si="4"/>
        <v>5</v>
      </c>
      <c r="C144">
        <f>SUMIFS(Sessions!$H:$H,Sessions!$E:$E,A144)</f>
        <v>0</v>
      </c>
      <c r="D144">
        <f>COUNTIF(Sessions!$E:$E,A144)</f>
        <v>0</v>
      </c>
    </row>
    <row r="145" spans="1:4" x14ac:dyDescent="0.3">
      <c r="A145" s="3">
        <f t="shared" si="5"/>
        <v>44705</v>
      </c>
      <c r="B145">
        <f t="shared" si="4"/>
        <v>5</v>
      </c>
      <c r="C145">
        <f>SUMIFS(Sessions!$H:$H,Sessions!$E:$E,A145)</f>
        <v>1</v>
      </c>
      <c r="D145">
        <f>COUNTIF(Sessions!$E:$E,A145)</f>
        <v>3</v>
      </c>
    </row>
    <row r="146" spans="1:4" x14ac:dyDescent="0.3">
      <c r="A146" s="3">
        <f t="shared" si="5"/>
        <v>44706</v>
      </c>
      <c r="B146">
        <f t="shared" si="4"/>
        <v>5</v>
      </c>
      <c r="C146">
        <f>SUMIFS(Sessions!$H:$H,Sessions!$E:$E,A146)</f>
        <v>1</v>
      </c>
      <c r="D146">
        <f>COUNTIF(Sessions!$E:$E,A146)</f>
        <v>1</v>
      </c>
    </row>
    <row r="147" spans="1:4" x14ac:dyDescent="0.3">
      <c r="A147" s="3">
        <f t="shared" si="5"/>
        <v>44707</v>
      </c>
      <c r="B147">
        <f t="shared" si="4"/>
        <v>5</v>
      </c>
      <c r="C147">
        <f>SUMIFS(Sessions!$H:$H,Sessions!$E:$E,A147)</f>
        <v>0</v>
      </c>
      <c r="D147">
        <f>COUNTIF(Sessions!$E:$E,A147)</f>
        <v>0</v>
      </c>
    </row>
    <row r="148" spans="1:4" x14ac:dyDescent="0.3">
      <c r="A148" s="3">
        <f t="shared" si="5"/>
        <v>44708</v>
      </c>
      <c r="B148">
        <f t="shared" si="4"/>
        <v>5</v>
      </c>
      <c r="C148">
        <f>SUMIFS(Sessions!$H:$H,Sessions!$E:$E,A148)</f>
        <v>0</v>
      </c>
      <c r="D148">
        <f>COUNTIF(Sessions!$E:$E,A148)</f>
        <v>0</v>
      </c>
    </row>
    <row r="149" spans="1:4" x14ac:dyDescent="0.3">
      <c r="A149" s="3">
        <f t="shared" si="5"/>
        <v>44709</v>
      </c>
      <c r="B149">
        <f t="shared" si="4"/>
        <v>5</v>
      </c>
      <c r="C149">
        <f>SUMIFS(Sessions!$H:$H,Sessions!$E:$E,A149)</f>
        <v>0</v>
      </c>
      <c r="D149">
        <f>COUNTIF(Sessions!$E:$E,A149)</f>
        <v>0</v>
      </c>
    </row>
    <row r="150" spans="1:4" x14ac:dyDescent="0.3">
      <c r="A150" s="3">
        <f t="shared" si="5"/>
        <v>44710</v>
      </c>
      <c r="B150">
        <f t="shared" si="4"/>
        <v>5</v>
      </c>
      <c r="C150">
        <f>SUMIFS(Sessions!$H:$H,Sessions!$E:$E,A150)</f>
        <v>0</v>
      </c>
      <c r="D150">
        <f>COUNTIF(Sessions!$E:$E,A150)</f>
        <v>0</v>
      </c>
    </row>
    <row r="151" spans="1:4" x14ac:dyDescent="0.3">
      <c r="A151" s="3">
        <f t="shared" si="5"/>
        <v>44711</v>
      </c>
      <c r="B151">
        <f t="shared" si="4"/>
        <v>5</v>
      </c>
      <c r="C151">
        <f>SUMIFS(Sessions!$H:$H,Sessions!$E:$E,A151)</f>
        <v>0</v>
      </c>
      <c r="D151">
        <f>COUNTIF(Sessions!$E:$E,A151)</f>
        <v>0</v>
      </c>
    </row>
    <row r="152" spans="1:4" x14ac:dyDescent="0.3">
      <c r="A152" s="3">
        <f t="shared" si="5"/>
        <v>44712</v>
      </c>
      <c r="B152">
        <f t="shared" si="4"/>
        <v>5</v>
      </c>
      <c r="C152">
        <f>SUMIFS(Sessions!$H:$H,Sessions!$E:$E,A152)</f>
        <v>0</v>
      </c>
      <c r="D152">
        <f>COUNTIF(Sessions!$E:$E,A152)</f>
        <v>0</v>
      </c>
    </row>
    <row r="153" spans="1:4" x14ac:dyDescent="0.3">
      <c r="A153" s="3">
        <f t="shared" si="5"/>
        <v>44713</v>
      </c>
      <c r="B153">
        <f t="shared" si="4"/>
        <v>6</v>
      </c>
      <c r="C153">
        <f>SUMIFS(Sessions!$H:$H,Sessions!$E:$E,A153)</f>
        <v>0</v>
      </c>
      <c r="D153">
        <f>COUNTIF(Sessions!$E:$E,A153)</f>
        <v>0</v>
      </c>
    </row>
    <row r="154" spans="1:4" x14ac:dyDescent="0.3">
      <c r="A154" s="3">
        <f t="shared" si="5"/>
        <v>44714</v>
      </c>
      <c r="B154">
        <f t="shared" si="4"/>
        <v>6</v>
      </c>
      <c r="C154">
        <f>SUMIFS(Sessions!$H:$H,Sessions!$E:$E,A154)</f>
        <v>0</v>
      </c>
      <c r="D154">
        <f>COUNTIF(Sessions!$E:$E,A154)</f>
        <v>0</v>
      </c>
    </row>
    <row r="155" spans="1:4" x14ac:dyDescent="0.3">
      <c r="A155" s="3">
        <f t="shared" si="5"/>
        <v>44715</v>
      </c>
      <c r="B155">
        <f t="shared" si="4"/>
        <v>6</v>
      </c>
      <c r="C155">
        <f>SUMIFS(Sessions!$H:$H,Sessions!$E:$E,A155)</f>
        <v>0</v>
      </c>
      <c r="D155">
        <f>COUNTIF(Sessions!$E:$E,A155)</f>
        <v>0</v>
      </c>
    </row>
    <row r="156" spans="1:4" x14ac:dyDescent="0.3">
      <c r="A156" s="3">
        <f t="shared" si="5"/>
        <v>44716</v>
      </c>
      <c r="B156">
        <f t="shared" si="4"/>
        <v>6</v>
      </c>
      <c r="C156">
        <f>SUMIFS(Sessions!$H:$H,Sessions!$E:$E,A156)</f>
        <v>0</v>
      </c>
      <c r="D156">
        <f>COUNTIF(Sessions!$E:$E,A156)</f>
        <v>0</v>
      </c>
    </row>
    <row r="157" spans="1:4" x14ac:dyDescent="0.3">
      <c r="A157" s="3">
        <f t="shared" si="5"/>
        <v>44717</v>
      </c>
      <c r="B157">
        <f t="shared" si="4"/>
        <v>6</v>
      </c>
      <c r="C157">
        <f>SUMIFS(Sessions!$H:$H,Sessions!$E:$E,A157)</f>
        <v>0</v>
      </c>
      <c r="D157">
        <f>COUNTIF(Sessions!$E:$E,A157)</f>
        <v>0</v>
      </c>
    </row>
    <row r="158" spans="1:4" x14ac:dyDescent="0.3">
      <c r="A158" s="3">
        <f t="shared" si="5"/>
        <v>44718</v>
      </c>
      <c r="B158">
        <f t="shared" si="4"/>
        <v>6</v>
      </c>
      <c r="C158">
        <f>SUMIFS(Sessions!$H:$H,Sessions!$E:$E,A158)</f>
        <v>1</v>
      </c>
      <c r="D158">
        <f>COUNTIF(Sessions!$E:$E,A158)</f>
        <v>3</v>
      </c>
    </row>
    <row r="159" spans="1:4" x14ac:dyDescent="0.3">
      <c r="A159" s="3">
        <f t="shared" si="5"/>
        <v>44719</v>
      </c>
      <c r="B159">
        <f t="shared" si="4"/>
        <v>6</v>
      </c>
      <c r="C159">
        <f>SUMIFS(Sessions!$H:$H,Sessions!$E:$E,A159)</f>
        <v>1</v>
      </c>
      <c r="D159">
        <f>COUNTIF(Sessions!$E:$E,A159)</f>
        <v>6</v>
      </c>
    </row>
    <row r="160" spans="1:4" x14ac:dyDescent="0.3">
      <c r="A160" s="3">
        <f t="shared" si="5"/>
        <v>44720</v>
      </c>
      <c r="B160">
        <f t="shared" si="4"/>
        <v>6</v>
      </c>
      <c r="C160">
        <f>SUMIFS(Sessions!$H:$H,Sessions!$E:$E,A160)</f>
        <v>2</v>
      </c>
      <c r="D160">
        <f>COUNTIF(Sessions!$E:$E,A160)</f>
        <v>3</v>
      </c>
    </row>
    <row r="161" spans="1:4" x14ac:dyDescent="0.3">
      <c r="A161" s="3">
        <f t="shared" si="5"/>
        <v>44721</v>
      </c>
      <c r="B161">
        <f t="shared" si="4"/>
        <v>6</v>
      </c>
      <c r="C161">
        <f>SUMIFS(Sessions!$H:$H,Sessions!$E:$E,A161)</f>
        <v>3</v>
      </c>
      <c r="D161">
        <f>COUNTIF(Sessions!$E:$E,A161)</f>
        <v>14</v>
      </c>
    </row>
    <row r="162" spans="1:4" x14ac:dyDescent="0.3">
      <c r="A162" s="3">
        <f t="shared" si="5"/>
        <v>44722</v>
      </c>
      <c r="B162">
        <f t="shared" si="4"/>
        <v>6</v>
      </c>
      <c r="C162">
        <f>SUMIFS(Sessions!$H:$H,Sessions!$E:$E,A162)</f>
        <v>3</v>
      </c>
      <c r="D162">
        <f>COUNTIF(Sessions!$E:$E,A162)</f>
        <v>8</v>
      </c>
    </row>
    <row r="163" spans="1:4" x14ac:dyDescent="0.3">
      <c r="A163" s="3">
        <f t="shared" si="5"/>
        <v>44723</v>
      </c>
      <c r="B163">
        <f t="shared" si="4"/>
        <v>6</v>
      </c>
      <c r="C163">
        <f>SUMIFS(Sessions!$H:$H,Sessions!$E:$E,A163)</f>
        <v>2</v>
      </c>
      <c r="D163">
        <f>COUNTIF(Sessions!$E:$E,A163)</f>
        <v>12</v>
      </c>
    </row>
    <row r="164" spans="1:4" x14ac:dyDescent="0.3">
      <c r="A164" s="3">
        <f t="shared" si="5"/>
        <v>44724</v>
      </c>
      <c r="B164">
        <f t="shared" si="4"/>
        <v>6</v>
      </c>
      <c r="C164">
        <f>SUMIFS(Sessions!$H:$H,Sessions!$E:$E,A164)</f>
        <v>3</v>
      </c>
      <c r="D164">
        <f>COUNTIF(Sessions!$E:$E,A164)</f>
        <v>8</v>
      </c>
    </row>
    <row r="165" spans="1:4" x14ac:dyDescent="0.3">
      <c r="A165" s="3">
        <f t="shared" si="5"/>
        <v>44725</v>
      </c>
      <c r="B165">
        <f t="shared" si="4"/>
        <v>6</v>
      </c>
      <c r="C165">
        <f>SUMIFS(Sessions!$H:$H,Sessions!$E:$E,A165)</f>
        <v>2</v>
      </c>
      <c r="D165">
        <f>COUNTIF(Sessions!$E:$E,A165)</f>
        <v>11</v>
      </c>
    </row>
    <row r="166" spans="1:4" x14ac:dyDescent="0.3">
      <c r="A166" s="3">
        <f t="shared" si="5"/>
        <v>44726</v>
      </c>
      <c r="B166">
        <f t="shared" si="4"/>
        <v>6</v>
      </c>
      <c r="C166">
        <f>SUMIFS(Sessions!$H:$H,Sessions!$E:$E,A166)</f>
        <v>3</v>
      </c>
      <c r="D166">
        <f>COUNTIF(Sessions!$E:$E,A166)</f>
        <v>12</v>
      </c>
    </row>
    <row r="167" spans="1:4" x14ac:dyDescent="0.3">
      <c r="A167" s="3">
        <f t="shared" si="5"/>
        <v>44727</v>
      </c>
      <c r="B167">
        <f t="shared" si="4"/>
        <v>6</v>
      </c>
      <c r="C167">
        <f>SUMIFS(Sessions!$H:$H,Sessions!$E:$E,A167)</f>
        <v>2</v>
      </c>
      <c r="D167">
        <f>COUNTIF(Sessions!$E:$E,A167)</f>
        <v>8</v>
      </c>
    </row>
    <row r="168" spans="1:4" x14ac:dyDescent="0.3">
      <c r="A168" s="3">
        <f t="shared" si="5"/>
        <v>44728</v>
      </c>
      <c r="B168">
        <f t="shared" si="4"/>
        <v>6</v>
      </c>
      <c r="C168">
        <f>SUMIFS(Sessions!$H:$H,Sessions!$E:$E,A168)</f>
        <v>2</v>
      </c>
      <c r="D168">
        <f>COUNTIF(Sessions!$E:$E,A168)</f>
        <v>10</v>
      </c>
    </row>
    <row r="169" spans="1:4" x14ac:dyDescent="0.3">
      <c r="A169" s="3">
        <f t="shared" si="5"/>
        <v>44729</v>
      </c>
      <c r="B169">
        <f t="shared" si="4"/>
        <v>6</v>
      </c>
      <c r="C169">
        <f>SUMIFS(Sessions!$H:$H,Sessions!$E:$E,A169)</f>
        <v>2</v>
      </c>
      <c r="D169">
        <f>COUNTIF(Sessions!$E:$E,A169)</f>
        <v>8</v>
      </c>
    </row>
    <row r="170" spans="1:4" x14ac:dyDescent="0.3">
      <c r="A170" s="3">
        <f t="shared" si="5"/>
        <v>44730</v>
      </c>
      <c r="B170">
        <f t="shared" si="4"/>
        <v>6</v>
      </c>
      <c r="C170">
        <f>SUMIFS(Sessions!$H:$H,Sessions!$E:$E,A170)</f>
        <v>1</v>
      </c>
      <c r="D170">
        <f>COUNTIF(Sessions!$E:$E,A170)</f>
        <v>6</v>
      </c>
    </row>
    <row r="171" spans="1:4" x14ac:dyDescent="0.3">
      <c r="A171" s="3">
        <f t="shared" si="5"/>
        <v>44731</v>
      </c>
      <c r="B171">
        <f t="shared" si="4"/>
        <v>6</v>
      </c>
      <c r="C171">
        <f>SUMIFS(Sessions!$H:$H,Sessions!$E:$E,A171)</f>
        <v>1</v>
      </c>
      <c r="D171">
        <f>COUNTIF(Sessions!$E:$E,A171)</f>
        <v>4</v>
      </c>
    </row>
    <row r="172" spans="1:4" x14ac:dyDescent="0.3">
      <c r="A172" s="3">
        <f t="shared" si="5"/>
        <v>44732</v>
      </c>
      <c r="B172">
        <f t="shared" si="4"/>
        <v>6</v>
      </c>
      <c r="C172">
        <f>SUMIFS(Sessions!$H:$H,Sessions!$E:$E,A172)</f>
        <v>1</v>
      </c>
      <c r="D172">
        <f>COUNTIF(Sessions!$E:$E,A172)</f>
        <v>4</v>
      </c>
    </row>
    <row r="173" spans="1:4" x14ac:dyDescent="0.3">
      <c r="A173" s="3">
        <f t="shared" si="5"/>
        <v>44733</v>
      </c>
      <c r="B173">
        <f t="shared" si="4"/>
        <v>6</v>
      </c>
      <c r="C173">
        <f>SUMIFS(Sessions!$H:$H,Sessions!$E:$E,A173)</f>
        <v>1</v>
      </c>
      <c r="D173">
        <f>COUNTIF(Sessions!$E:$E,A173)</f>
        <v>3</v>
      </c>
    </row>
    <row r="174" spans="1:4" x14ac:dyDescent="0.3">
      <c r="A174" s="3">
        <f t="shared" si="5"/>
        <v>44734</v>
      </c>
      <c r="B174">
        <f t="shared" si="4"/>
        <v>6</v>
      </c>
      <c r="C174">
        <f>SUMIFS(Sessions!$H:$H,Sessions!$E:$E,A174)</f>
        <v>1</v>
      </c>
      <c r="D174">
        <f>COUNTIF(Sessions!$E:$E,A174)</f>
        <v>4</v>
      </c>
    </row>
    <row r="175" spans="1:4" x14ac:dyDescent="0.3">
      <c r="A175" s="3">
        <f t="shared" si="5"/>
        <v>44735</v>
      </c>
      <c r="B175">
        <f t="shared" si="4"/>
        <v>6</v>
      </c>
      <c r="C175">
        <f>SUMIFS(Sessions!$H:$H,Sessions!$E:$E,A175)</f>
        <v>0</v>
      </c>
      <c r="D175">
        <f>COUNTIF(Sessions!$E:$E,A175)</f>
        <v>0</v>
      </c>
    </row>
    <row r="176" spans="1:4" x14ac:dyDescent="0.3">
      <c r="A176" s="3">
        <f t="shared" si="5"/>
        <v>44736</v>
      </c>
      <c r="B176">
        <f t="shared" si="4"/>
        <v>6</v>
      </c>
      <c r="C176">
        <f>SUMIFS(Sessions!$H:$H,Sessions!$E:$E,A176)</f>
        <v>0</v>
      </c>
      <c r="D176">
        <f>COUNTIF(Sessions!$E:$E,A176)</f>
        <v>0</v>
      </c>
    </row>
    <row r="177" spans="1:4" x14ac:dyDescent="0.3">
      <c r="A177" s="3">
        <f t="shared" si="5"/>
        <v>44737</v>
      </c>
      <c r="B177">
        <f t="shared" si="4"/>
        <v>6</v>
      </c>
      <c r="C177">
        <f>SUMIFS(Sessions!$H:$H,Sessions!$E:$E,A177)</f>
        <v>2</v>
      </c>
      <c r="D177">
        <f>COUNTIF(Sessions!$E:$E,A177)</f>
        <v>6</v>
      </c>
    </row>
    <row r="178" spans="1:4" x14ac:dyDescent="0.3">
      <c r="A178" s="3">
        <f t="shared" si="5"/>
        <v>44738</v>
      </c>
      <c r="B178">
        <f t="shared" si="4"/>
        <v>6</v>
      </c>
      <c r="C178">
        <f>SUMIFS(Sessions!$H:$H,Sessions!$E:$E,A178)</f>
        <v>3</v>
      </c>
      <c r="D178">
        <f>COUNTIF(Sessions!$E:$E,A178)</f>
        <v>10</v>
      </c>
    </row>
    <row r="179" spans="1:4" x14ac:dyDescent="0.3">
      <c r="A179" s="3">
        <f t="shared" si="5"/>
        <v>44739</v>
      </c>
      <c r="B179">
        <f t="shared" si="4"/>
        <v>6</v>
      </c>
      <c r="C179">
        <f>SUMIFS(Sessions!$H:$H,Sessions!$E:$E,A179)</f>
        <v>3</v>
      </c>
      <c r="D179">
        <f>COUNTIF(Sessions!$E:$E,A179)</f>
        <v>11</v>
      </c>
    </row>
    <row r="180" spans="1:4" x14ac:dyDescent="0.3">
      <c r="A180" s="3">
        <f t="shared" si="5"/>
        <v>44740</v>
      </c>
      <c r="B180">
        <f t="shared" si="4"/>
        <v>6</v>
      </c>
      <c r="C180">
        <f>SUMIFS(Sessions!$H:$H,Sessions!$E:$E,A180)</f>
        <v>2</v>
      </c>
      <c r="D180">
        <f>COUNTIF(Sessions!$E:$E,A180)</f>
        <v>11</v>
      </c>
    </row>
    <row r="181" spans="1:4" x14ac:dyDescent="0.3">
      <c r="A181" s="3">
        <f t="shared" si="5"/>
        <v>44741</v>
      </c>
      <c r="B181">
        <f t="shared" si="4"/>
        <v>6</v>
      </c>
      <c r="C181">
        <f>SUMIFS(Sessions!$H:$H,Sessions!$E:$E,A181)</f>
        <v>3</v>
      </c>
      <c r="D181">
        <f>COUNTIF(Sessions!$E:$E,A181)</f>
        <v>8</v>
      </c>
    </row>
    <row r="182" spans="1:4" x14ac:dyDescent="0.3">
      <c r="A182" s="3">
        <f t="shared" si="5"/>
        <v>44742</v>
      </c>
      <c r="B182">
        <f t="shared" si="4"/>
        <v>6</v>
      </c>
      <c r="C182">
        <f>SUMIFS(Sessions!$H:$H,Sessions!$E:$E,A182)</f>
        <v>3</v>
      </c>
      <c r="D182">
        <f>COUNTIF(Sessions!$E:$E,A182)</f>
        <v>15</v>
      </c>
    </row>
    <row r="183" spans="1:4" x14ac:dyDescent="0.3">
      <c r="A183" s="3">
        <f t="shared" si="5"/>
        <v>44743</v>
      </c>
      <c r="B183">
        <f t="shared" si="4"/>
        <v>7</v>
      </c>
      <c r="C183">
        <f>SUMIFS(Sessions!$H:$H,Sessions!$E:$E,A183)</f>
        <v>2</v>
      </c>
      <c r="D183">
        <f>COUNTIF(Sessions!$E:$E,A183)</f>
        <v>10</v>
      </c>
    </row>
    <row r="184" spans="1:4" x14ac:dyDescent="0.3">
      <c r="A184" s="3">
        <f t="shared" si="5"/>
        <v>44744</v>
      </c>
      <c r="B184">
        <f t="shared" si="4"/>
        <v>7</v>
      </c>
      <c r="C184">
        <f>SUMIFS(Sessions!$H:$H,Sessions!$E:$E,A184)</f>
        <v>3</v>
      </c>
      <c r="D184">
        <f>COUNTIF(Sessions!$E:$E,A184)</f>
        <v>14</v>
      </c>
    </row>
    <row r="185" spans="1:4" x14ac:dyDescent="0.3">
      <c r="A185" s="3">
        <f t="shared" si="5"/>
        <v>44745</v>
      </c>
      <c r="B185">
        <f t="shared" si="4"/>
        <v>7</v>
      </c>
      <c r="C185">
        <f>SUMIFS(Sessions!$H:$H,Sessions!$E:$E,A185)</f>
        <v>3</v>
      </c>
      <c r="D185">
        <f>COUNTIF(Sessions!$E:$E,A185)</f>
        <v>12</v>
      </c>
    </row>
    <row r="186" spans="1:4" x14ac:dyDescent="0.3">
      <c r="A186" s="3">
        <f t="shared" si="5"/>
        <v>44746</v>
      </c>
      <c r="B186">
        <f t="shared" si="4"/>
        <v>7</v>
      </c>
      <c r="C186">
        <f>SUMIFS(Sessions!$H:$H,Sessions!$E:$E,A186)</f>
        <v>3</v>
      </c>
      <c r="D186">
        <f>COUNTIF(Sessions!$E:$E,A186)</f>
        <v>10</v>
      </c>
    </row>
    <row r="187" spans="1:4" x14ac:dyDescent="0.3">
      <c r="A187" s="3">
        <f t="shared" si="5"/>
        <v>44747</v>
      </c>
      <c r="B187">
        <f t="shared" si="4"/>
        <v>7</v>
      </c>
      <c r="C187">
        <f>SUMIFS(Sessions!$H:$H,Sessions!$E:$E,A187)</f>
        <v>2</v>
      </c>
      <c r="D187">
        <f>COUNTIF(Sessions!$E:$E,A187)</f>
        <v>9</v>
      </c>
    </row>
    <row r="188" spans="1:4" x14ac:dyDescent="0.3">
      <c r="A188" s="3">
        <f t="shared" si="5"/>
        <v>44748</v>
      </c>
      <c r="B188">
        <f t="shared" si="4"/>
        <v>7</v>
      </c>
      <c r="C188">
        <f>SUMIFS(Sessions!$H:$H,Sessions!$E:$E,A188)</f>
        <v>1</v>
      </c>
      <c r="D188">
        <f>COUNTIF(Sessions!$E:$E,A188)</f>
        <v>1</v>
      </c>
    </row>
    <row r="189" spans="1:4" x14ac:dyDescent="0.3">
      <c r="A189" s="3">
        <f t="shared" si="5"/>
        <v>44749</v>
      </c>
      <c r="B189">
        <f t="shared" si="4"/>
        <v>7</v>
      </c>
      <c r="C189">
        <f>SUMIFS(Sessions!$H:$H,Sessions!$E:$E,A189)</f>
        <v>2</v>
      </c>
      <c r="D189">
        <f>COUNTIF(Sessions!$E:$E,A189)</f>
        <v>2</v>
      </c>
    </row>
    <row r="190" spans="1:4" x14ac:dyDescent="0.3">
      <c r="A190" s="3">
        <f t="shared" si="5"/>
        <v>44750</v>
      </c>
      <c r="B190">
        <f t="shared" si="4"/>
        <v>7</v>
      </c>
      <c r="C190">
        <f>SUMIFS(Sessions!$H:$H,Sessions!$E:$E,A190)</f>
        <v>4</v>
      </c>
      <c r="D190">
        <f>COUNTIF(Sessions!$E:$E,A190)</f>
        <v>19</v>
      </c>
    </row>
    <row r="191" spans="1:4" x14ac:dyDescent="0.3">
      <c r="A191" s="3">
        <f t="shared" si="5"/>
        <v>44751</v>
      </c>
      <c r="B191">
        <f t="shared" si="4"/>
        <v>7</v>
      </c>
      <c r="C191">
        <f>SUMIFS(Sessions!$H:$H,Sessions!$E:$E,A191)</f>
        <v>6</v>
      </c>
      <c r="D191">
        <f>COUNTIF(Sessions!$E:$E,A191)</f>
        <v>28</v>
      </c>
    </row>
    <row r="192" spans="1:4" x14ac:dyDescent="0.3">
      <c r="A192" s="3">
        <f t="shared" si="5"/>
        <v>44752</v>
      </c>
      <c r="B192">
        <f t="shared" si="4"/>
        <v>7</v>
      </c>
      <c r="C192">
        <f>SUMIFS(Sessions!$H:$H,Sessions!$E:$E,A192)</f>
        <v>4</v>
      </c>
      <c r="D192">
        <f>COUNTIF(Sessions!$E:$E,A192)</f>
        <v>21</v>
      </c>
    </row>
    <row r="193" spans="1:4" x14ac:dyDescent="0.3">
      <c r="A193" s="3">
        <f t="shared" si="5"/>
        <v>44753</v>
      </c>
      <c r="B193">
        <f t="shared" si="4"/>
        <v>7</v>
      </c>
      <c r="C193">
        <f>SUMIFS(Sessions!$H:$H,Sessions!$E:$E,A193)</f>
        <v>4</v>
      </c>
      <c r="D193">
        <f>COUNTIF(Sessions!$E:$E,A193)</f>
        <v>20</v>
      </c>
    </row>
    <row r="194" spans="1:4" x14ac:dyDescent="0.3">
      <c r="A194" s="3">
        <f t="shared" si="5"/>
        <v>44754</v>
      </c>
      <c r="B194">
        <f t="shared" ref="B194:B257" si="6">MONTH(A194)</f>
        <v>7</v>
      </c>
      <c r="C194">
        <f>SUMIFS(Sessions!$H:$H,Sessions!$E:$E,A194)</f>
        <v>3</v>
      </c>
      <c r="D194">
        <f>COUNTIF(Sessions!$E:$E,A194)</f>
        <v>12</v>
      </c>
    </row>
    <row r="195" spans="1:4" x14ac:dyDescent="0.3">
      <c r="A195" s="3">
        <f t="shared" ref="A195:A258" si="7">A194+1</f>
        <v>44755</v>
      </c>
      <c r="B195">
        <f t="shared" si="6"/>
        <v>7</v>
      </c>
      <c r="C195">
        <f>SUMIFS(Sessions!$H:$H,Sessions!$E:$E,A195)</f>
        <v>3</v>
      </c>
      <c r="D195">
        <f>COUNTIF(Sessions!$E:$E,A195)</f>
        <v>17</v>
      </c>
    </row>
    <row r="196" spans="1:4" x14ac:dyDescent="0.3">
      <c r="A196" s="3">
        <f t="shared" si="7"/>
        <v>44756</v>
      </c>
      <c r="B196">
        <f t="shared" si="6"/>
        <v>7</v>
      </c>
      <c r="C196">
        <f>SUMIFS(Sessions!$H:$H,Sessions!$E:$E,A196)</f>
        <v>2</v>
      </c>
      <c r="D196">
        <f>COUNTIF(Sessions!$E:$E,A196)</f>
        <v>9</v>
      </c>
    </row>
    <row r="197" spans="1:4" x14ac:dyDescent="0.3">
      <c r="A197" s="3">
        <f t="shared" si="7"/>
        <v>44757</v>
      </c>
      <c r="B197">
        <f t="shared" si="6"/>
        <v>7</v>
      </c>
      <c r="C197">
        <f>SUMIFS(Sessions!$H:$H,Sessions!$E:$E,A197)</f>
        <v>1</v>
      </c>
      <c r="D197">
        <f>COUNTIF(Sessions!$E:$E,A197)</f>
        <v>2</v>
      </c>
    </row>
    <row r="198" spans="1:4" x14ac:dyDescent="0.3">
      <c r="A198" s="3">
        <f t="shared" si="7"/>
        <v>44758</v>
      </c>
      <c r="B198">
        <f t="shared" si="6"/>
        <v>7</v>
      </c>
      <c r="C198">
        <f>SUMIFS(Sessions!$H:$H,Sessions!$E:$E,A198)</f>
        <v>2</v>
      </c>
      <c r="D198">
        <f>COUNTIF(Sessions!$E:$E,A198)</f>
        <v>8</v>
      </c>
    </row>
    <row r="199" spans="1:4" x14ac:dyDescent="0.3">
      <c r="A199" s="3">
        <f t="shared" si="7"/>
        <v>44759</v>
      </c>
      <c r="B199">
        <f t="shared" si="6"/>
        <v>7</v>
      </c>
      <c r="C199">
        <f>SUMIFS(Sessions!$H:$H,Sessions!$E:$E,A199)</f>
        <v>3</v>
      </c>
      <c r="D199">
        <f>COUNTIF(Sessions!$E:$E,A199)</f>
        <v>11</v>
      </c>
    </row>
    <row r="200" spans="1:4" x14ac:dyDescent="0.3">
      <c r="A200" s="3">
        <f t="shared" si="7"/>
        <v>44760</v>
      </c>
      <c r="B200">
        <f t="shared" si="6"/>
        <v>7</v>
      </c>
      <c r="C200">
        <f>SUMIFS(Sessions!$H:$H,Sessions!$E:$E,A200)</f>
        <v>2</v>
      </c>
      <c r="D200">
        <f>COUNTIF(Sessions!$E:$E,A200)</f>
        <v>11</v>
      </c>
    </row>
    <row r="201" spans="1:4" x14ac:dyDescent="0.3">
      <c r="A201" s="3">
        <f t="shared" si="7"/>
        <v>44761</v>
      </c>
      <c r="B201">
        <f t="shared" si="6"/>
        <v>7</v>
      </c>
      <c r="C201">
        <f>SUMIFS(Sessions!$H:$H,Sessions!$E:$E,A201)</f>
        <v>2</v>
      </c>
      <c r="D201">
        <f>COUNTIF(Sessions!$E:$E,A201)</f>
        <v>8</v>
      </c>
    </row>
    <row r="202" spans="1:4" x14ac:dyDescent="0.3">
      <c r="A202" s="3">
        <f t="shared" si="7"/>
        <v>44762</v>
      </c>
      <c r="B202">
        <f t="shared" si="6"/>
        <v>7</v>
      </c>
      <c r="C202">
        <f>SUMIFS(Sessions!$H:$H,Sessions!$E:$E,A202)</f>
        <v>1</v>
      </c>
      <c r="D202">
        <f>COUNTIF(Sessions!$E:$E,A202)</f>
        <v>6</v>
      </c>
    </row>
    <row r="203" spans="1:4" x14ac:dyDescent="0.3">
      <c r="A203" s="3">
        <f t="shared" si="7"/>
        <v>44763</v>
      </c>
      <c r="B203">
        <f t="shared" si="6"/>
        <v>7</v>
      </c>
      <c r="C203">
        <f>SUMIFS(Sessions!$H:$H,Sessions!$E:$E,A203)</f>
        <v>1</v>
      </c>
      <c r="D203">
        <f>COUNTIF(Sessions!$E:$E,A203)</f>
        <v>5</v>
      </c>
    </row>
    <row r="204" spans="1:4" x14ac:dyDescent="0.3">
      <c r="A204" s="3">
        <f t="shared" si="7"/>
        <v>44764</v>
      </c>
      <c r="B204">
        <f t="shared" si="6"/>
        <v>7</v>
      </c>
      <c r="C204">
        <f>SUMIFS(Sessions!$H:$H,Sessions!$E:$E,A204)</f>
        <v>1</v>
      </c>
      <c r="D204">
        <f>COUNTIF(Sessions!$E:$E,A204)</f>
        <v>7</v>
      </c>
    </row>
    <row r="205" spans="1:4" x14ac:dyDescent="0.3">
      <c r="A205" s="3">
        <f t="shared" si="7"/>
        <v>44765</v>
      </c>
      <c r="B205">
        <f t="shared" si="6"/>
        <v>7</v>
      </c>
      <c r="C205">
        <f>SUMIFS(Sessions!$H:$H,Sessions!$E:$E,A205)</f>
        <v>2</v>
      </c>
      <c r="D205">
        <f>COUNTIF(Sessions!$E:$E,A205)</f>
        <v>3</v>
      </c>
    </row>
    <row r="206" spans="1:4" x14ac:dyDescent="0.3">
      <c r="A206" s="3">
        <f t="shared" si="7"/>
        <v>44766</v>
      </c>
      <c r="B206">
        <f t="shared" si="6"/>
        <v>7</v>
      </c>
      <c r="C206">
        <f>SUMIFS(Sessions!$H:$H,Sessions!$E:$E,A206)</f>
        <v>1</v>
      </c>
      <c r="D206">
        <f>COUNTIF(Sessions!$E:$E,A206)</f>
        <v>6</v>
      </c>
    </row>
    <row r="207" spans="1:4" x14ac:dyDescent="0.3">
      <c r="A207" s="3">
        <f t="shared" si="7"/>
        <v>44767</v>
      </c>
      <c r="B207">
        <f t="shared" si="6"/>
        <v>7</v>
      </c>
      <c r="C207">
        <f>SUMIFS(Sessions!$H:$H,Sessions!$E:$E,A207)</f>
        <v>1</v>
      </c>
      <c r="D207">
        <f>COUNTIF(Sessions!$E:$E,A207)</f>
        <v>8</v>
      </c>
    </row>
    <row r="208" spans="1:4" x14ac:dyDescent="0.3">
      <c r="A208" s="3">
        <f t="shared" si="7"/>
        <v>44768</v>
      </c>
      <c r="B208">
        <f t="shared" si="6"/>
        <v>7</v>
      </c>
      <c r="C208">
        <f>SUMIFS(Sessions!$H:$H,Sessions!$E:$E,A208)</f>
        <v>1</v>
      </c>
      <c r="D208">
        <f>COUNTIF(Sessions!$E:$E,A208)</f>
        <v>4</v>
      </c>
    </row>
    <row r="209" spans="1:4" x14ac:dyDescent="0.3">
      <c r="A209" s="3">
        <f t="shared" si="7"/>
        <v>44769</v>
      </c>
      <c r="B209">
        <f t="shared" si="6"/>
        <v>7</v>
      </c>
      <c r="C209">
        <f>SUMIFS(Sessions!$H:$H,Sessions!$E:$E,A209)</f>
        <v>1</v>
      </c>
      <c r="D209">
        <f>COUNTIF(Sessions!$E:$E,A209)</f>
        <v>4</v>
      </c>
    </row>
    <row r="210" spans="1:4" x14ac:dyDescent="0.3">
      <c r="A210" s="3">
        <f t="shared" si="7"/>
        <v>44770</v>
      </c>
      <c r="B210">
        <f t="shared" si="6"/>
        <v>7</v>
      </c>
      <c r="C210">
        <f>SUMIFS(Sessions!$H:$H,Sessions!$E:$E,A210)</f>
        <v>2</v>
      </c>
      <c r="D210">
        <f>COUNTIF(Sessions!$E:$E,A210)</f>
        <v>10</v>
      </c>
    </row>
    <row r="211" spans="1:4" x14ac:dyDescent="0.3">
      <c r="A211" s="3">
        <f t="shared" si="7"/>
        <v>44771</v>
      </c>
      <c r="B211">
        <f t="shared" si="6"/>
        <v>7</v>
      </c>
      <c r="C211">
        <f>SUMIFS(Sessions!$H:$H,Sessions!$E:$E,A211)</f>
        <v>2</v>
      </c>
      <c r="D211">
        <f>COUNTIF(Sessions!$E:$E,A211)</f>
        <v>9</v>
      </c>
    </row>
    <row r="212" spans="1:4" x14ac:dyDescent="0.3">
      <c r="A212" s="3">
        <f t="shared" si="7"/>
        <v>44772</v>
      </c>
      <c r="B212">
        <f t="shared" si="6"/>
        <v>7</v>
      </c>
      <c r="C212">
        <f>SUMIFS(Sessions!$H:$H,Sessions!$E:$E,A212)</f>
        <v>1</v>
      </c>
      <c r="D212">
        <f>COUNTIF(Sessions!$E:$E,A212)</f>
        <v>7</v>
      </c>
    </row>
    <row r="213" spans="1:4" x14ac:dyDescent="0.3">
      <c r="A213" s="3">
        <f t="shared" si="7"/>
        <v>44773</v>
      </c>
      <c r="B213">
        <f t="shared" si="6"/>
        <v>7</v>
      </c>
      <c r="C213">
        <f>SUMIFS(Sessions!$H:$H,Sessions!$E:$E,A213)</f>
        <v>2</v>
      </c>
      <c r="D213">
        <f>COUNTIF(Sessions!$E:$E,A213)</f>
        <v>7</v>
      </c>
    </row>
    <row r="214" spans="1:4" x14ac:dyDescent="0.3">
      <c r="A214" s="3">
        <f t="shared" si="7"/>
        <v>44774</v>
      </c>
      <c r="B214">
        <f t="shared" si="6"/>
        <v>8</v>
      </c>
      <c r="C214">
        <f>SUMIFS(Sessions!$H:$H,Sessions!$E:$E,A214)</f>
        <v>2</v>
      </c>
      <c r="D214">
        <f>COUNTIF(Sessions!$E:$E,A214)</f>
        <v>8</v>
      </c>
    </row>
    <row r="215" spans="1:4" x14ac:dyDescent="0.3">
      <c r="A215" s="3">
        <f t="shared" si="7"/>
        <v>44775</v>
      </c>
      <c r="B215">
        <f t="shared" si="6"/>
        <v>8</v>
      </c>
      <c r="C215">
        <f>SUMIFS(Sessions!$H:$H,Sessions!$E:$E,A215)</f>
        <v>2</v>
      </c>
      <c r="D215">
        <f>COUNTIF(Sessions!$E:$E,A215)</f>
        <v>10</v>
      </c>
    </row>
    <row r="216" spans="1:4" x14ac:dyDescent="0.3">
      <c r="A216" s="3">
        <f t="shared" si="7"/>
        <v>44776</v>
      </c>
      <c r="B216">
        <f t="shared" si="6"/>
        <v>8</v>
      </c>
      <c r="C216">
        <f>SUMIFS(Sessions!$H:$H,Sessions!$E:$E,A216)</f>
        <v>2</v>
      </c>
      <c r="D216">
        <f>COUNTIF(Sessions!$E:$E,A216)</f>
        <v>8</v>
      </c>
    </row>
    <row r="217" spans="1:4" x14ac:dyDescent="0.3">
      <c r="A217" s="3">
        <f t="shared" si="7"/>
        <v>44777</v>
      </c>
      <c r="B217">
        <f t="shared" si="6"/>
        <v>8</v>
      </c>
      <c r="C217">
        <f>SUMIFS(Sessions!$H:$H,Sessions!$E:$E,A217)</f>
        <v>1</v>
      </c>
      <c r="D217">
        <f>COUNTIF(Sessions!$E:$E,A217)</f>
        <v>2</v>
      </c>
    </row>
    <row r="218" spans="1:4" x14ac:dyDescent="0.3">
      <c r="A218" s="3">
        <f t="shared" si="7"/>
        <v>44778</v>
      </c>
      <c r="B218">
        <f t="shared" si="6"/>
        <v>8</v>
      </c>
      <c r="C218">
        <f>SUMIFS(Sessions!$H:$H,Sessions!$E:$E,A218)</f>
        <v>0</v>
      </c>
      <c r="D218">
        <f>COUNTIF(Sessions!$E:$E,A218)</f>
        <v>0</v>
      </c>
    </row>
    <row r="219" spans="1:4" x14ac:dyDescent="0.3">
      <c r="A219" s="3">
        <f t="shared" si="7"/>
        <v>44779</v>
      </c>
      <c r="B219">
        <f t="shared" si="6"/>
        <v>8</v>
      </c>
      <c r="C219">
        <f>SUMIFS(Sessions!$H:$H,Sessions!$E:$E,A219)</f>
        <v>1</v>
      </c>
      <c r="D219">
        <f>COUNTIF(Sessions!$E:$E,A219)</f>
        <v>2</v>
      </c>
    </row>
    <row r="220" spans="1:4" x14ac:dyDescent="0.3">
      <c r="A220" s="3">
        <f t="shared" si="7"/>
        <v>44780</v>
      </c>
      <c r="B220">
        <f t="shared" si="6"/>
        <v>8</v>
      </c>
      <c r="C220">
        <f>SUMIFS(Sessions!$H:$H,Sessions!$E:$E,A220)</f>
        <v>2</v>
      </c>
      <c r="D220">
        <f>COUNTIF(Sessions!$E:$E,A220)</f>
        <v>3</v>
      </c>
    </row>
    <row r="221" spans="1:4" x14ac:dyDescent="0.3">
      <c r="A221" s="3">
        <f t="shared" si="7"/>
        <v>44781</v>
      </c>
      <c r="B221">
        <f t="shared" si="6"/>
        <v>8</v>
      </c>
      <c r="C221">
        <f>SUMIFS(Sessions!$H:$H,Sessions!$E:$E,A221)</f>
        <v>1</v>
      </c>
      <c r="D221">
        <f>COUNTIF(Sessions!$E:$E,A221)</f>
        <v>5</v>
      </c>
    </row>
    <row r="222" spans="1:4" x14ac:dyDescent="0.3">
      <c r="A222" s="3">
        <f t="shared" si="7"/>
        <v>44782</v>
      </c>
      <c r="B222">
        <f t="shared" si="6"/>
        <v>8</v>
      </c>
      <c r="C222">
        <f>SUMIFS(Sessions!$H:$H,Sessions!$E:$E,A222)</f>
        <v>0</v>
      </c>
      <c r="D222">
        <f>COUNTIF(Sessions!$E:$E,A222)</f>
        <v>0</v>
      </c>
    </row>
    <row r="223" spans="1:4" x14ac:dyDescent="0.3">
      <c r="A223" s="3">
        <f t="shared" si="7"/>
        <v>44783</v>
      </c>
      <c r="B223">
        <f t="shared" si="6"/>
        <v>8</v>
      </c>
      <c r="C223">
        <f>SUMIFS(Sessions!$H:$H,Sessions!$E:$E,A223)</f>
        <v>0</v>
      </c>
      <c r="D223">
        <f>COUNTIF(Sessions!$E:$E,A223)</f>
        <v>0</v>
      </c>
    </row>
    <row r="224" spans="1:4" x14ac:dyDescent="0.3">
      <c r="A224" s="3">
        <f t="shared" si="7"/>
        <v>44784</v>
      </c>
      <c r="B224">
        <f t="shared" si="6"/>
        <v>8</v>
      </c>
      <c r="C224">
        <f>SUMIFS(Sessions!$H:$H,Sessions!$E:$E,A224)</f>
        <v>0</v>
      </c>
      <c r="D224">
        <f>COUNTIF(Sessions!$E:$E,A224)</f>
        <v>0</v>
      </c>
    </row>
    <row r="225" spans="1:4" x14ac:dyDescent="0.3">
      <c r="A225" s="3">
        <f t="shared" si="7"/>
        <v>44785</v>
      </c>
      <c r="B225">
        <f t="shared" si="6"/>
        <v>8</v>
      </c>
      <c r="C225">
        <f>SUMIFS(Sessions!$H:$H,Sessions!$E:$E,A225)</f>
        <v>0</v>
      </c>
      <c r="D225">
        <f>COUNTIF(Sessions!$E:$E,A225)</f>
        <v>0</v>
      </c>
    </row>
    <row r="226" spans="1:4" x14ac:dyDescent="0.3">
      <c r="A226" s="3">
        <f t="shared" si="7"/>
        <v>44786</v>
      </c>
      <c r="B226">
        <f t="shared" si="6"/>
        <v>8</v>
      </c>
      <c r="C226">
        <f>SUMIFS(Sessions!$H:$H,Sessions!$E:$E,A226)</f>
        <v>0</v>
      </c>
      <c r="D226">
        <f>COUNTIF(Sessions!$E:$E,A226)</f>
        <v>0</v>
      </c>
    </row>
    <row r="227" spans="1:4" x14ac:dyDescent="0.3">
      <c r="A227" s="3">
        <f t="shared" si="7"/>
        <v>44787</v>
      </c>
      <c r="B227">
        <f t="shared" si="6"/>
        <v>8</v>
      </c>
      <c r="C227">
        <f>SUMIFS(Sessions!$H:$H,Sessions!$E:$E,A227)</f>
        <v>0</v>
      </c>
      <c r="D227">
        <f>COUNTIF(Sessions!$E:$E,A227)</f>
        <v>0</v>
      </c>
    </row>
    <row r="228" spans="1:4" x14ac:dyDescent="0.3">
      <c r="A228" s="3">
        <f t="shared" si="7"/>
        <v>44788</v>
      </c>
      <c r="B228">
        <f t="shared" si="6"/>
        <v>8</v>
      </c>
      <c r="C228">
        <f>SUMIFS(Sessions!$H:$H,Sessions!$E:$E,A228)</f>
        <v>0</v>
      </c>
      <c r="D228">
        <f>COUNTIF(Sessions!$E:$E,A228)</f>
        <v>0</v>
      </c>
    </row>
    <row r="229" spans="1:4" x14ac:dyDescent="0.3">
      <c r="A229" s="3">
        <f t="shared" si="7"/>
        <v>44789</v>
      </c>
      <c r="B229">
        <f t="shared" si="6"/>
        <v>8</v>
      </c>
      <c r="C229">
        <f>SUMIFS(Sessions!$H:$H,Sessions!$E:$E,A229)</f>
        <v>0</v>
      </c>
      <c r="D229">
        <f>COUNTIF(Sessions!$E:$E,A229)</f>
        <v>0</v>
      </c>
    </row>
    <row r="230" spans="1:4" x14ac:dyDescent="0.3">
      <c r="A230" s="3">
        <f t="shared" si="7"/>
        <v>44790</v>
      </c>
      <c r="B230">
        <f t="shared" si="6"/>
        <v>8</v>
      </c>
      <c r="C230">
        <f>SUMIFS(Sessions!$H:$H,Sessions!$E:$E,A230)</f>
        <v>0</v>
      </c>
      <c r="D230">
        <f>COUNTIF(Sessions!$E:$E,A230)</f>
        <v>0</v>
      </c>
    </row>
    <row r="231" spans="1:4" x14ac:dyDescent="0.3">
      <c r="A231" s="3">
        <f t="shared" si="7"/>
        <v>44791</v>
      </c>
      <c r="B231">
        <f t="shared" si="6"/>
        <v>8</v>
      </c>
      <c r="C231">
        <f>SUMIFS(Sessions!$H:$H,Sessions!$E:$E,A231)</f>
        <v>1</v>
      </c>
      <c r="D231">
        <f>COUNTIF(Sessions!$E:$E,A231)</f>
        <v>3</v>
      </c>
    </row>
    <row r="232" spans="1:4" x14ac:dyDescent="0.3">
      <c r="A232" s="3">
        <f t="shared" si="7"/>
        <v>44792</v>
      </c>
      <c r="B232">
        <f t="shared" si="6"/>
        <v>8</v>
      </c>
      <c r="C232">
        <f>SUMIFS(Sessions!$H:$H,Sessions!$E:$E,A232)</f>
        <v>1</v>
      </c>
      <c r="D232">
        <f>COUNTIF(Sessions!$E:$E,A232)</f>
        <v>6</v>
      </c>
    </row>
    <row r="233" spans="1:4" x14ac:dyDescent="0.3">
      <c r="A233" s="3">
        <f t="shared" si="7"/>
        <v>44793</v>
      </c>
      <c r="B233">
        <f t="shared" si="6"/>
        <v>8</v>
      </c>
      <c r="C233">
        <f>SUMIFS(Sessions!$H:$H,Sessions!$E:$E,A233)</f>
        <v>1</v>
      </c>
      <c r="D233">
        <f>COUNTIF(Sessions!$E:$E,A233)</f>
        <v>2</v>
      </c>
    </row>
    <row r="234" spans="1:4" x14ac:dyDescent="0.3">
      <c r="A234" s="3">
        <f t="shared" si="7"/>
        <v>44794</v>
      </c>
      <c r="B234">
        <f t="shared" si="6"/>
        <v>8</v>
      </c>
      <c r="C234">
        <f>SUMIFS(Sessions!$H:$H,Sessions!$E:$E,A234)</f>
        <v>0</v>
      </c>
      <c r="D234">
        <f>COUNTIF(Sessions!$E:$E,A234)</f>
        <v>0</v>
      </c>
    </row>
    <row r="235" spans="1:4" x14ac:dyDescent="0.3">
      <c r="A235" s="3">
        <f t="shared" si="7"/>
        <v>44795</v>
      </c>
      <c r="B235">
        <f t="shared" si="6"/>
        <v>8</v>
      </c>
      <c r="C235">
        <f>SUMIFS(Sessions!$H:$H,Sessions!$E:$E,A235)</f>
        <v>0</v>
      </c>
      <c r="D235">
        <f>COUNTIF(Sessions!$E:$E,A235)</f>
        <v>0</v>
      </c>
    </row>
    <row r="236" spans="1:4" x14ac:dyDescent="0.3">
      <c r="A236" s="3">
        <f t="shared" si="7"/>
        <v>44796</v>
      </c>
      <c r="B236">
        <f t="shared" si="6"/>
        <v>8</v>
      </c>
      <c r="C236">
        <f>SUMIFS(Sessions!$H:$H,Sessions!$E:$E,A236)</f>
        <v>0</v>
      </c>
      <c r="D236">
        <f>COUNTIF(Sessions!$E:$E,A236)</f>
        <v>0</v>
      </c>
    </row>
    <row r="237" spans="1:4" x14ac:dyDescent="0.3">
      <c r="A237" s="3">
        <f t="shared" si="7"/>
        <v>44797</v>
      </c>
      <c r="B237">
        <f t="shared" si="6"/>
        <v>8</v>
      </c>
      <c r="C237">
        <f>SUMIFS(Sessions!$H:$H,Sessions!$E:$E,A237)</f>
        <v>0</v>
      </c>
      <c r="D237">
        <f>COUNTIF(Sessions!$E:$E,A237)</f>
        <v>0</v>
      </c>
    </row>
    <row r="238" spans="1:4" x14ac:dyDescent="0.3">
      <c r="A238" s="3">
        <f t="shared" si="7"/>
        <v>44798</v>
      </c>
      <c r="B238">
        <f t="shared" si="6"/>
        <v>8</v>
      </c>
      <c r="C238">
        <f>SUMIFS(Sessions!$H:$H,Sessions!$E:$E,A238)</f>
        <v>0</v>
      </c>
      <c r="D238">
        <f>COUNTIF(Sessions!$E:$E,A238)</f>
        <v>0</v>
      </c>
    </row>
    <row r="239" spans="1:4" x14ac:dyDescent="0.3">
      <c r="A239" s="3">
        <f t="shared" si="7"/>
        <v>44799</v>
      </c>
      <c r="B239">
        <f t="shared" si="6"/>
        <v>8</v>
      </c>
      <c r="C239">
        <f>SUMIFS(Sessions!$H:$H,Sessions!$E:$E,A239)</f>
        <v>0</v>
      </c>
      <c r="D239">
        <f>COUNTIF(Sessions!$E:$E,A239)</f>
        <v>0</v>
      </c>
    </row>
    <row r="240" spans="1:4" x14ac:dyDescent="0.3">
      <c r="A240" s="3">
        <f t="shared" si="7"/>
        <v>44800</v>
      </c>
      <c r="B240">
        <f t="shared" si="6"/>
        <v>8</v>
      </c>
      <c r="C240">
        <f>SUMIFS(Sessions!$H:$H,Sessions!$E:$E,A240)</f>
        <v>0</v>
      </c>
      <c r="D240">
        <f>COUNTIF(Sessions!$E:$E,A240)</f>
        <v>0</v>
      </c>
    </row>
    <row r="241" spans="1:4" x14ac:dyDescent="0.3">
      <c r="A241" s="3">
        <f t="shared" si="7"/>
        <v>44801</v>
      </c>
      <c r="B241">
        <f t="shared" si="6"/>
        <v>8</v>
      </c>
      <c r="C241">
        <f>SUMIFS(Sessions!$H:$H,Sessions!$E:$E,A241)</f>
        <v>0</v>
      </c>
      <c r="D241">
        <f>COUNTIF(Sessions!$E:$E,A241)</f>
        <v>0</v>
      </c>
    </row>
    <row r="242" spans="1:4" x14ac:dyDescent="0.3">
      <c r="A242" s="3">
        <f t="shared" si="7"/>
        <v>44802</v>
      </c>
      <c r="B242">
        <f t="shared" si="6"/>
        <v>8</v>
      </c>
      <c r="C242">
        <f>SUMIFS(Sessions!$H:$H,Sessions!$E:$E,A242)</f>
        <v>0</v>
      </c>
      <c r="D242">
        <f>COUNTIF(Sessions!$E:$E,A242)</f>
        <v>0</v>
      </c>
    </row>
    <row r="243" spans="1:4" x14ac:dyDescent="0.3">
      <c r="A243" s="3">
        <f t="shared" si="7"/>
        <v>44803</v>
      </c>
      <c r="B243">
        <f t="shared" si="6"/>
        <v>8</v>
      </c>
      <c r="C243">
        <f>SUMIFS(Sessions!$H:$H,Sessions!$E:$E,A243)</f>
        <v>0</v>
      </c>
      <c r="D243">
        <f>COUNTIF(Sessions!$E:$E,A243)</f>
        <v>0</v>
      </c>
    </row>
    <row r="244" spans="1:4" x14ac:dyDescent="0.3">
      <c r="A244" s="3">
        <f t="shared" si="7"/>
        <v>44804</v>
      </c>
      <c r="B244">
        <f t="shared" si="6"/>
        <v>8</v>
      </c>
      <c r="C244">
        <f>SUMIFS(Sessions!$H:$H,Sessions!$E:$E,A244)</f>
        <v>2</v>
      </c>
      <c r="D244">
        <f>COUNTIF(Sessions!$E:$E,A244)</f>
        <v>7</v>
      </c>
    </row>
    <row r="245" spans="1:4" x14ac:dyDescent="0.3">
      <c r="A245" s="3">
        <f t="shared" si="7"/>
        <v>44805</v>
      </c>
      <c r="B245">
        <f t="shared" si="6"/>
        <v>9</v>
      </c>
      <c r="C245">
        <f>SUMIFS(Sessions!$H:$H,Sessions!$E:$E,A245)</f>
        <v>3</v>
      </c>
      <c r="D245">
        <f>COUNTIF(Sessions!$E:$E,A245)</f>
        <v>13</v>
      </c>
    </row>
    <row r="246" spans="1:4" x14ac:dyDescent="0.3">
      <c r="A246" s="3">
        <f t="shared" si="7"/>
        <v>44806</v>
      </c>
      <c r="B246">
        <f t="shared" si="6"/>
        <v>9</v>
      </c>
      <c r="C246">
        <f>SUMIFS(Sessions!$H:$H,Sessions!$E:$E,A246)</f>
        <v>3</v>
      </c>
      <c r="D246">
        <f>COUNTIF(Sessions!$E:$E,A246)</f>
        <v>12</v>
      </c>
    </row>
    <row r="247" spans="1:4" x14ac:dyDescent="0.3">
      <c r="A247" s="3">
        <f t="shared" si="7"/>
        <v>44807</v>
      </c>
      <c r="B247">
        <f t="shared" si="6"/>
        <v>9</v>
      </c>
      <c r="C247">
        <f>SUMIFS(Sessions!$H:$H,Sessions!$E:$E,A247)</f>
        <v>0</v>
      </c>
      <c r="D247">
        <f>COUNTIF(Sessions!$E:$E,A247)</f>
        <v>0</v>
      </c>
    </row>
    <row r="248" spans="1:4" x14ac:dyDescent="0.3">
      <c r="A248" s="3">
        <f t="shared" si="7"/>
        <v>44808</v>
      </c>
      <c r="B248">
        <f t="shared" si="6"/>
        <v>9</v>
      </c>
      <c r="C248">
        <f>SUMIFS(Sessions!$H:$H,Sessions!$E:$E,A248)</f>
        <v>0</v>
      </c>
      <c r="D248">
        <f>COUNTIF(Sessions!$E:$E,A248)</f>
        <v>0</v>
      </c>
    </row>
    <row r="249" spans="1:4" x14ac:dyDescent="0.3">
      <c r="A249" s="3">
        <f t="shared" si="7"/>
        <v>44809</v>
      </c>
      <c r="B249">
        <f t="shared" si="6"/>
        <v>9</v>
      </c>
      <c r="C249">
        <f>SUMIFS(Sessions!$H:$H,Sessions!$E:$E,A249)</f>
        <v>0</v>
      </c>
      <c r="D249">
        <f>COUNTIF(Sessions!$E:$E,A249)</f>
        <v>0</v>
      </c>
    </row>
    <row r="250" spans="1:4" x14ac:dyDescent="0.3">
      <c r="A250" s="3">
        <f t="shared" si="7"/>
        <v>44810</v>
      </c>
      <c r="B250">
        <f t="shared" si="6"/>
        <v>9</v>
      </c>
      <c r="C250">
        <f>SUMIFS(Sessions!$H:$H,Sessions!$E:$E,A250)</f>
        <v>0</v>
      </c>
      <c r="D250">
        <f>COUNTIF(Sessions!$E:$E,A250)</f>
        <v>0</v>
      </c>
    </row>
    <row r="251" spans="1:4" x14ac:dyDescent="0.3">
      <c r="A251" s="3">
        <f t="shared" si="7"/>
        <v>44811</v>
      </c>
      <c r="B251">
        <f t="shared" si="6"/>
        <v>9</v>
      </c>
      <c r="C251">
        <f>SUMIFS(Sessions!$H:$H,Sessions!$E:$E,A251)</f>
        <v>1</v>
      </c>
      <c r="D251">
        <f>COUNTIF(Sessions!$E:$E,A251)</f>
        <v>4</v>
      </c>
    </row>
    <row r="252" spans="1:4" x14ac:dyDescent="0.3">
      <c r="A252" s="3">
        <f t="shared" si="7"/>
        <v>44812</v>
      </c>
      <c r="B252">
        <f t="shared" si="6"/>
        <v>9</v>
      </c>
      <c r="C252">
        <f>SUMIFS(Sessions!$H:$H,Sessions!$E:$E,A252)</f>
        <v>1</v>
      </c>
      <c r="D252">
        <f>COUNTIF(Sessions!$E:$E,A252)</f>
        <v>6</v>
      </c>
    </row>
    <row r="253" spans="1:4" x14ac:dyDescent="0.3">
      <c r="A253" s="3">
        <f t="shared" si="7"/>
        <v>44813</v>
      </c>
      <c r="B253">
        <f t="shared" si="6"/>
        <v>9</v>
      </c>
      <c r="C253">
        <f>SUMIFS(Sessions!$H:$H,Sessions!$E:$E,A253)</f>
        <v>0</v>
      </c>
      <c r="D253">
        <f>COUNTIF(Sessions!$E:$E,A253)</f>
        <v>0</v>
      </c>
    </row>
    <row r="254" spans="1:4" x14ac:dyDescent="0.3">
      <c r="A254" s="3">
        <f t="shared" si="7"/>
        <v>44814</v>
      </c>
      <c r="B254">
        <f t="shared" si="6"/>
        <v>9</v>
      </c>
      <c r="C254">
        <f>SUMIFS(Sessions!$H:$H,Sessions!$E:$E,A254)</f>
        <v>0</v>
      </c>
      <c r="D254">
        <f>COUNTIF(Sessions!$E:$E,A254)</f>
        <v>0</v>
      </c>
    </row>
    <row r="255" spans="1:4" x14ac:dyDescent="0.3">
      <c r="A255" s="3">
        <f t="shared" si="7"/>
        <v>44815</v>
      </c>
      <c r="B255">
        <f t="shared" si="6"/>
        <v>9</v>
      </c>
      <c r="C255">
        <f>SUMIFS(Sessions!$H:$H,Sessions!$E:$E,A255)</f>
        <v>0</v>
      </c>
      <c r="D255">
        <f>COUNTIF(Sessions!$E:$E,A255)</f>
        <v>0</v>
      </c>
    </row>
    <row r="256" spans="1:4" x14ac:dyDescent="0.3">
      <c r="A256" s="3">
        <f t="shared" si="7"/>
        <v>44816</v>
      </c>
      <c r="B256">
        <f t="shared" si="6"/>
        <v>9</v>
      </c>
      <c r="C256">
        <f>SUMIFS(Sessions!$H:$H,Sessions!$E:$E,A256)</f>
        <v>0</v>
      </c>
      <c r="D256">
        <f>COUNTIF(Sessions!$E:$E,A256)</f>
        <v>0</v>
      </c>
    </row>
    <row r="257" spans="1:4" x14ac:dyDescent="0.3">
      <c r="A257" s="3">
        <f t="shared" si="7"/>
        <v>44817</v>
      </c>
      <c r="B257">
        <f t="shared" si="6"/>
        <v>9</v>
      </c>
      <c r="C257">
        <f>SUMIFS(Sessions!$H:$H,Sessions!$E:$E,A257)</f>
        <v>0</v>
      </c>
      <c r="D257">
        <f>COUNTIF(Sessions!$E:$E,A257)</f>
        <v>0</v>
      </c>
    </row>
    <row r="258" spans="1:4" x14ac:dyDescent="0.3">
      <c r="A258" s="3">
        <f t="shared" si="7"/>
        <v>44818</v>
      </c>
      <c r="B258">
        <f t="shared" ref="B258:B321" si="8">MONTH(A258)</f>
        <v>9</v>
      </c>
      <c r="C258">
        <f>SUMIFS(Sessions!$H:$H,Sessions!$E:$E,A258)</f>
        <v>0</v>
      </c>
      <c r="D258">
        <f>COUNTIF(Sessions!$E:$E,A258)</f>
        <v>0</v>
      </c>
    </row>
    <row r="259" spans="1:4" x14ac:dyDescent="0.3">
      <c r="A259" s="3">
        <f t="shared" ref="A259:A322" si="9">A258+1</f>
        <v>44819</v>
      </c>
      <c r="B259">
        <f t="shared" si="8"/>
        <v>9</v>
      </c>
      <c r="C259">
        <f>SUMIFS(Sessions!$H:$H,Sessions!$E:$E,A259)</f>
        <v>0</v>
      </c>
      <c r="D259">
        <f>COUNTIF(Sessions!$E:$E,A259)</f>
        <v>0</v>
      </c>
    </row>
    <row r="260" spans="1:4" x14ac:dyDescent="0.3">
      <c r="A260" s="3">
        <f t="shared" si="9"/>
        <v>44820</v>
      </c>
      <c r="B260">
        <f t="shared" si="8"/>
        <v>9</v>
      </c>
      <c r="C260">
        <f>SUMIFS(Sessions!$H:$H,Sessions!$E:$E,A260)</f>
        <v>0</v>
      </c>
      <c r="D260">
        <f>COUNTIF(Sessions!$E:$E,A260)</f>
        <v>0</v>
      </c>
    </row>
    <row r="261" spans="1:4" x14ac:dyDescent="0.3">
      <c r="A261" s="3">
        <f t="shared" si="9"/>
        <v>44821</v>
      </c>
      <c r="B261">
        <f t="shared" si="8"/>
        <v>9</v>
      </c>
      <c r="C261">
        <f>SUMIFS(Sessions!$H:$H,Sessions!$E:$E,A261)</f>
        <v>0</v>
      </c>
      <c r="D261">
        <f>COUNTIF(Sessions!$E:$E,A261)</f>
        <v>0</v>
      </c>
    </row>
    <row r="262" spans="1:4" x14ac:dyDescent="0.3">
      <c r="A262" s="3">
        <f t="shared" si="9"/>
        <v>44822</v>
      </c>
      <c r="B262">
        <f t="shared" si="8"/>
        <v>9</v>
      </c>
      <c r="C262">
        <f>SUMIFS(Sessions!$H:$H,Sessions!$E:$E,A262)</f>
        <v>0</v>
      </c>
      <c r="D262">
        <f>COUNTIF(Sessions!$E:$E,A262)</f>
        <v>0</v>
      </c>
    </row>
    <row r="263" spans="1:4" x14ac:dyDescent="0.3">
      <c r="A263" s="3">
        <f t="shared" si="9"/>
        <v>44823</v>
      </c>
      <c r="B263">
        <f t="shared" si="8"/>
        <v>9</v>
      </c>
      <c r="C263">
        <f>SUMIFS(Sessions!$H:$H,Sessions!$E:$E,A263)</f>
        <v>0</v>
      </c>
      <c r="D263">
        <f>COUNTIF(Sessions!$E:$E,A263)</f>
        <v>0</v>
      </c>
    </row>
    <row r="264" spans="1:4" x14ac:dyDescent="0.3">
      <c r="A264" s="3">
        <f t="shared" si="9"/>
        <v>44824</v>
      </c>
      <c r="B264">
        <f t="shared" si="8"/>
        <v>9</v>
      </c>
      <c r="C264">
        <f>SUMIFS(Sessions!$H:$H,Sessions!$E:$E,A264)</f>
        <v>0</v>
      </c>
      <c r="D264">
        <f>COUNTIF(Sessions!$E:$E,A264)</f>
        <v>0</v>
      </c>
    </row>
    <row r="265" spans="1:4" x14ac:dyDescent="0.3">
      <c r="A265" s="3">
        <f t="shared" si="9"/>
        <v>44825</v>
      </c>
      <c r="B265">
        <f t="shared" si="8"/>
        <v>9</v>
      </c>
      <c r="C265">
        <f>SUMIFS(Sessions!$H:$H,Sessions!$E:$E,A265)</f>
        <v>0</v>
      </c>
      <c r="D265">
        <f>COUNTIF(Sessions!$E:$E,A265)</f>
        <v>0</v>
      </c>
    </row>
    <row r="266" spans="1:4" x14ac:dyDescent="0.3">
      <c r="A266" s="3">
        <f t="shared" si="9"/>
        <v>44826</v>
      </c>
      <c r="B266">
        <f t="shared" si="8"/>
        <v>9</v>
      </c>
      <c r="C266">
        <f>SUMIFS(Sessions!$H:$H,Sessions!$E:$E,A266)</f>
        <v>0</v>
      </c>
      <c r="D266">
        <f>COUNTIF(Sessions!$E:$E,A266)</f>
        <v>0</v>
      </c>
    </row>
    <row r="267" spans="1:4" x14ac:dyDescent="0.3">
      <c r="A267" s="3">
        <f t="shared" si="9"/>
        <v>44827</v>
      </c>
      <c r="B267">
        <f t="shared" si="8"/>
        <v>9</v>
      </c>
      <c r="C267">
        <f>SUMIFS(Sessions!$H:$H,Sessions!$E:$E,A267)</f>
        <v>2</v>
      </c>
      <c r="D267">
        <f>COUNTIF(Sessions!$E:$E,A267)</f>
        <v>4</v>
      </c>
    </row>
    <row r="268" spans="1:4" x14ac:dyDescent="0.3">
      <c r="A268" s="3">
        <f t="shared" si="9"/>
        <v>44828</v>
      </c>
      <c r="B268">
        <f t="shared" si="8"/>
        <v>9</v>
      </c>
      <c r="C268">
        <f>SUMIFS(Sessions!$H:$H,Sessions!$E:$E,A268)</f>
        <v>2</v>
      </c>
      <c r="D268">
        <f>COUNTIF(Sessions!$E:$E,A268)</f>
        <v>9</v>
      </c>
    </row>
    <row r="269" spans="1:4" x14ac:dyDescent="0.3">
      <c r="A269" s="3">
        <f t="shared" si="9"/>
        <v>44829</v>
      </c>
      <c r="B269">
        <f t="shared" si="8"/>
        <v>9</v>
      </c>
      <c r="C269">
        <f>SUMIFS(Sessions!$H:$H,Sessions!$E:$E,A269)</f>
        <v>2</v>
      </c>
      <c r="D269">
        <f>COUNTIF(Sessions!$E:$E,A269)</f>
        <v>9</v>
      </c>
    </row>
    <row r="270" spans="1:4" x14ac:dyDescent="0.3">
      <c r="A270" s="3">
        <f t="shared" si="9"/>
        <v>44830</v>
      </c>
      <c r="B270">
        <f t="shared" si="8"/>
        <v>9</v>
      </c>
      <c r="C270">
        <f>SUMIFS(Sessions!$H:$H,Sessions!$E:$E,A270)</f>
        <v>3</v>
      </c>
      <c r="D270">
        <f>COUNTIF(Sessions!$E:$E,A270)</f>
        <v>15</v>
      </c>
    </row>
    <row r="271" spans="1:4" x14ac:dyDescent="0.3">
      <c r="A271" s="3">
        <f t="shared" si="9"/>
        <v>44831</v>
      </c>
      <c r="B271">
        <f t="shared" si="8"/>
        <v>9</v>
      </c>
      <c r="C271">
        <f>SUMIFS(Sessions!$H:$H,Sessions!$E:$E,A271)</f>
        <v>3</v>
      </c>
      <c r="D271">
        <f>COUNTIF(Sessions!$E:$E,A271)</f>
        <v>14</v>
      </c>
    </row>
    <row r="272" spans="1:4" x14ac:dyDescent="0.3">
      <c r="A272" s="3">
        <f t="shared" si="9"/>
        <v>44832</v>
      </c>
      <c r="B272">
        <f t="shared" si="8"/>
        <v>9</v>
      </c>
      <c r="C272">
        <f>SUMIFS(Sessions!$H:$H,Sessions!$E:$E,A272)</f>
        <v>1</v>
      </c>
      <c r="D272">
        <f>COUNTIF(Sessions!$E:$E,A272)</f>
        <v>4</v>
      </c>
    </row>
    <row r="273" spans="1:4" x14ac:dyDescent="0.3">
      <c r="A273" s="3">
        <f t="shared" si="9"/>
        <v>44833</v>
      </c>
      <c r="B273">
        <f t="shared" si="8"/>
        <v>9</v>
      </c>
      <c r="C273">
        <f>SUMIFS(Sessions!$H:$H,Sessions!$E:$E,A273)</f>
        <v>1</v>
      </c>
      <c r="D273">
        <f>COUNTIF(Sessions!$E:$E,A273)</f>
        <v>4</v>
      </c>
    </row>
    <row r="274" spans="1:4" x14ac:dyDescent="0.3">
      <c r="A274" s="3">
        <f t="shared" si="9"/>
        <v>44834</v>
      </c>
      <c r="B274">
        <f t="shared" si="8"/>
        <v>9</v>
      </c>
      <c r="C274">
        <f>SUMIFS(Sessions!$H:$H,Sessions!$E:$E,A274)</f>
        <v>1</v>
      </c>
      <c r="D274">
        <f>COUNTIF(Sessions!$E:$E,A274)</f>
        <v>5</v>
      </c>
    </row>
    <row r="275" spans="1:4" x14ac:dyDescent="0.3">
      <c r="A275" s="3">
        <f t="shared" si="9"/>
        <v>44835</v>
      </c>
      <c r="B275">
        <f t="shared" si="8"/>
        <v>10</v>
      </c>
      <c r="C275">
        <f>SUMIFS(Sessions!$H:$H,Sessions!$E:$E,A275)</f>
        <v>1</v>
      </c>
      <c r="D275">
        <f>COUNTIF(Sessions!$E:$E,A275)</f>
        <v>4</v>
      </c>
    </row>
    <row r="276" spans="1:4" x14ac:dyDescent="0.3">
      <c r="A276" s="3">
        <f t="shared" si="9"/>
        <v>44836</v>
      </c>
      <c r="B276">
        <f t="shared" si="8"/>
        <v>10</v>
      </c>
      <c r="C276">
        <f>SUMIFS(Sessions!$H:$H,Sessions!$E:$E,A276)</f>
        <v>1</v>
      </c>
      <c r="D276">
        <f>COUNTIF(Sessions!$E:$E,A276)</f>
        <v>5</v>
      </c>
    </row>
    <row r="277" spans="1:4" x14ac:dyDescent="0.3">
      <c r="A277" s="3">
        <f t="shared" si="9"/>
        <v>44837</v>
      </c>
      <c r="B277">
        <f t="shared" si="8"/>
        <v>10</v>
      </c>
      <c r="C277">
        <f>SUMIFS(Sessions!$H:$H,Sessions!$E:$E,A277)</f>
        <v>1</v>
      </c>
      <c r="D277">
        <f>COUNTIF(Sessions!$E:$E,A277)</f>
        <v>7</v>
      </c>
    </row>
    <row r="278" spans="1:4" x14ac:dyDescent="0.3">
      <c r="A278" s="3">
        <f t="shared" si="9"/>
        <v>44838</v>
      </c>
      <c r="B278">
        <f t="shared" si="8"/>
        <v>10</v>
      </c>
      <c r="C278">
        <f>SUMIFS(Sessions!$H:$H,Sessions!$E:$E,A278)</f>
        <v>1</v>
      </c>
      <c r="D278">
        <f>COUNTIF(Sessions!$E:$E,A278)</f>
        <v>5</v>
      </c>
    </row>
    <row r="279" spans="1:4" x14ac:dyDescent="0.3">
      <c r="A279" s="3">
        <f t="shared" si="9"/>
        <v>44839</v>
      </c>
      <c r="B279">
        <f t="shared" si="8"/>
        <v>10</v>
      </c>
      <c r="C279">
        <f>SUMIFS(Sessions!$H:$H,Sessions!$E:$E,A279)</f>
        <v>1</v>
      </c>
      <c r="D279">
        <f>COUNTIF(Sessions!$E:$E,A279)</f>
        <v>1</v>
      </c>
    </row>
    <row r="280" spans="1:4" x14ac:dyDescent="0.3">
      <c r="A280" s="3">
        <f t="shared" si="9"/>
        <v>44840</v>
      </c>
      <c r="B280">
        <f t="shared" si="8"/>
        <v>10</v>
      </c>
      <c r="C280">
        <f>SUMIFS(Sessions!$H:$H,Sessions!$E:$E,A280)</f>
        <v>0</v>
      </c>
      <c r="D280">
        <f>COUNTIF(Sessions!$E:$E,A280)</f>
        <v>0</v>
      </c>
    </row>
    <row r="281" spans="1:4" x14ac:dyDescent="0.3">
      <c r="A281" s="3">
        <f t="shared" si="9"/>
        <v>44841</v>
      </c>
      <c r="B281">
        <f t="shared" si="8"/>
        <v>10</v>
      </c>
      <c r="C281">
        <f>SUMIFS(Sessions!$H:$H,Sessions!$E:$E,A281)</f>
        <v>0</v>
      </c>
      <c r="D281">
        <f>COUNTIF(Sessions!$E:$E,A281)</f>
        <v>0</v>
      </c>
    </row>
    <row r="282" spans="1:4" x14ac:dyDescent="0.3">
      <c r="A282" s="3">
        <f t="shared" si="9"/>
        <v>44842</v>
      </c>
      <c r="B282">
        <f t="shared" si="8"/>
        <v>10</v>
      </c>
      <c r="C282">
        <f>SUMIFS(Sessions!$H:$H,Sessions!$E:$E,A282)</f>
        <v>0</v>
      </c>
      <c r="D282">
        <f>COUNTIF(Sessions!$E:$E,A282)</f>
        <v>0</v>
      </c>
    </row>
    <row r="283" spans="1:4" x14ac:dyDescent="0.3">
      <c r="A283" s="3">
        <f t="shared" si="9"/>
        <v>44843</v>
      </c>
      <c r="B283">
        <f t="shared" si="8"/>
        <v>10</v>
      </c>
      <c r="C283">
        <f>SUMIFS(Sessions!$H:$H,Sessions!$E:$E,A283)</f>
        <v>0</v>
      </c>
      <c r="D283">
        <f>COUNTIF(Sessions!$E:$E,A283)</f>
        <v>0</v>
      </c>
    </row>
    <row r="284" spans="1:4" x14ac:dyDescent="0.3">
      <c r="A284" s="3">
        <f t="shared" si="9"/>
        <v>44844</v>
      </c>
      <c r="B284">
        <f t="shared" si="8"/>
        <v>10</v>
      </c>
      <c r="C284">
        <f>SUMIFS(Sessions!$H:$H,Sessions!$E:$E,A284)</f>
        <v>0</v>
      </c>
      <c r="D284">
        <f>COUNTIF(Sessions!$E:$E,A284)</f>
        <v>0</v>
      </c>
    </row>
    <row r="285" spans="1:4" x14ac:dyDescent="0.3">
      <c r="A285" s="3">
        <f t="shared" si="9"/>
        <v>44845</v>
      </c>
      <c r="B285">
        <f t="shared" si="8"/>
        <v>10</v>
      </c>
      <c r="C285">
        <f>SUMIFS(Sessions!$H:$H,Sessions!$E:$E,A285)</f>
        <v>0</v>
      </c>
      <c r="D285">
        <f>COUNTIF(Sessions!$E:$E,A285)</f>
        <v>0</v>
      </c>
    </row>
    <row r="286" spans="1:4" x14ac:dyDescent="0.3">
      <c r="A286" s="3">
        <f t="shared" si="9"/>
        <v>44846</v>
      </c>
      <c r="B286">
        <f t="shared" si="8"/>
        <v>10</v>
      </c>
      <c r="C286">
        <f>SUMIFS(Sessions!$H:$H,Sessions!$E:$E,A286)</f>
        <v>0</v>
      </c>
      <c r="D286">
        <f>COUNTIF(Sessions!$E:$E,A286)</f>
        <v>0</v>
      </c>
    </row>
    <row r="287" spans="1:4" x14ac:dyDescent="0.3">
      <c r="A287" s="3">
        <f t="shared" si="9"/>
        <v>44847</v>
      </c>
      <c r="B287">
        <f t="shared" si="8"/>
        <v>10</v>
      </c>
      <c r="C287">
        <f>SUMIFS(Sessions!$H:$H,Sessions!$E:$E,A287)</f>
        <v>0</v>
      </c>
      <c r="D287">
        <f>COUNTIF(Sessions!$E:$E,A287)</f>
        <v>0</v>
      </c>
    </row>
    <row r="288" spans="1:4" x14ac:dyDescent="0.3">
      <c r="A288" s="3">
        <f t="shared" si="9"/>
        <v>44848</v>
      </c>
      <c r="B288">
        <f t="shared" si="8"/>
        <v>10</v>
      </c>
      <c r="C288">
        <f>SUMIFS(Sessions!$H:$H,Sessions!$E:$E,A288)</f>
        <v>0</v>
      </c>
      <c r="D288">
        <f>COUNTIF(Sessions!$E:$E,A288)</f>
        <v>0</v>
      </c>
    </row>
    <row r="289" spans="1:4" x14ac:dyDescent="0.3">
      <c r="A289" s="3">
        <f t="shared" si="9"/>
        <v>44849</v>
      </c>
      <c r="B289">
        <f t="shared" si="8"/>
        <v>10</v>
      </c>
      <c r="C289">
        <f>SUMIFS(Sessions!$H:$H,Sessions!$E:$E,A289)</f>
        <v>0</v>
      </c>
      <c r="D289">
        <f>COUNTIF(Sessions!$E:$E,A289)</f>
        <v>0</v>
      </c>
    </row>
    <row r="290" spans="1:4" x14ac:dyDescent="0.3">
      <c r="A290" s="3">
        <f t="shared" si="9"/>
        <v>44850</v>
      </c>
      <c r="B290">
        <f t="shared" si="8"/>
        <v>10</v>
      </c>
      <c r="C290">
        <f>SUMIFS(Sessions!$H:$H,Sessions!$E:$E,A290)</f>
        <v>1</v>
      </c>
      <c r="D290">
        <f>COUNTIF(Sessions!$E:$E,A290)</f>
        <v>3</v>
      </c>
    </row>
    <row r="291" spans="1:4" x14ac:dyDescent="0.3">
      <c r="A291" s="3">
        <f t="shared" si="9"/>
        <v>44851</v>
      </c>
      <c r="B291">
        <f t="shared" si="8"/>
        <v>10</v>
      </c>
      <c r="C291">
        <f>SUMIFS(Sessions!$H:$H,Sessions!$E:$E,A291)</f>
        <v>1</v>
      </c>
      <c r="D291">
        <f>COUNTIF(Sessions!$E:$E,A291)</f>
        <v>4</v>
      </c>
    </row>
    <row r="292" spans="1:4" x14ac:dyDescent="0.3">
      <c r="A292" s="3">
        <f t="shared" si="9"/>
        <v>44852</v>
      </c>
      <c r="B292">
        <f t="shared" si="8"/>
        <v>10</v>
      </c>
      <c r="C292">
        <f>SUMIFS(Sessions!$H:$H,Sessions!$E:$E,A292)</f>
        <v>1</v>
      </c>
      <c r="D292">
        <f>COUNTIF(Sessions!$E:$E,A292)</f>
        <v>3</v>
      </c>
    </row>
    <row r="293" spans="1:4" x14ac:dyDescent="0.3">
      <c r="A293" s="3">
        <f t="shared" si="9"/>
        <v>44853</v>
      </c>
      <c r="B293">
        <f t="shared" si="8"/>
        <v>10</v>
      </c>
      <c r="C293">
        <f>SUMIFS(Sessions!$H:$H,Sessions!$E:$E,A293)</f>
        <v>1</v>
      </c>
      <c r="D293">
        <f>COUNTIF(Sessions!$E:$E,A293)</f>
        <v>4</v>
      </c>
    </row>
    <row r="294" spans="1:4" x14ac:dyDescent="0.3">
      <c r="A294" s="3">
        <f t="shared" si="9"/>
        <v>44854</v>
      </c>
      <c r="B294">
        <f t="shared" si="8"/>
        <v>10</v>
      </c>
      <c r="C294">
        <f>SUMIFS(Sessions!$H:$H,Sessions!$E:$E,A294)</f>
        <v>1</v>
      </c>
      <c r="D294">
        <f>COUNTIF(Sessions!$E:$E,A294)</f>
        <v>5</v>
      </c>
    </row>
    <row r="295" spans="1:4" x14ac:dyDescent="0.3">
      <c r="A295" s="3">
        <f t="shared" si="9"/>
        <v>44855</v>
      </c>
      <c r="B295">
        <f t="shared" si="8"/>
        <v>10</v>
      </c>
      <c r="C295">
        <f>SUMIFS(Sessions!$H:$H,Sessions!$E:$E,A295)</f>
        <v>1</v>
      </c>
      <c r="D295">
        <f>COUNTIF(Sessions!$E:$E,A295)</f>
        <v>5</v>
      </c>
    </row>
    <row r="296" spans="1:4" x14ac:dyDescent="0.3">
      <c r="A296" s="3">
        <f t="shared" si="9"/>
        <v>44856</v>
      </c>
      <c r="B296">
        <f t="shared" si="8"/>
        <v>10</v>
      </c>
      <c r="C296">
        <f>SUMIFS(Sessions!$H:$H,Sessions!$E:$E,A296)</f>
        <v>1</v>
      </c>
      <c r="D296">
        <f>COUNTIF(Sessions!$E:$E,A296)</f>
        <v>5</v>
      </c>
    </row>
    <row r="297" spans="1:4" x14ac:dyDescent="0.3">
      <c r="A297" s="3">
        <f t="shared" si="9"/>
        <v>44857</v>
      </c>
      <c r="B297">
        <f t="shared" si="8"/>
        <v>10</v>
      </c>
      <c r="C297">
        <f>SUMIFS(Sessions!$H:$H,Sessions!$E:$E,A297)</f>
        <v>1</v>
      </c>
      <c r="D297">
        <f>COUNTIF(Sessions!$E:$E,A297)</f>
        <v>5</v>
      </c>
    </row>
    <row r="298" spans="1:4" x14ac:dyDescent="0.3">
      <c r="A298" s="3">
        <f t="shared" si="9"/>
        <v>44858</v>
      </c>
      <c r="B298">
        <f t="shared" si="8"/>
        <v>10</v>
      </c>
      <c r="C298">
        <f>SUMIFS(Sessions!$H:$H,Sessions!$E:$E,A298)</f>
        <v>1</v>
      </c>
      <c r="D298">
        <f>COUNTIF(Sessions!$E:$E,A298)</f>
        <v>5</v>
      </c>
    </row>
    <row r="299" spans="1:4" x14ac:dyDescent="0.3">
      <c r="A299" s="3">
        <f t="shared" si="9"/>
        <v>44859</v>
      </c>
      <c r="B299">
        <f t="shared" si="8"/>
        <v>10</v>
      </c>
      <c r="C299">
        <f>SUMIFS(Sessions!$H:$H,Sessions!$E:$E,A299)</f>
        <v>1</v>
      </c>
      <c r="D299">
        <f>COUNTIF(Sessions!$E:$E,A299)</f>
        <v>7</v>
      </c>
    </row>
    <row r="300" spans="1:4" x14ac:dyDescent="0.3">
      <c r="A300" s="3">
        <f t="shared" si="9"/>
        <v>44860</v>
      </c>
      <c r="B300">
        <f t="shared" si="8"/>
        <v>10</v>
      </c>
      <c r="C300">
        <f>SUMIFS(Sessions!$H:$H,Sessions!$E:$E,A300)</f>
        <v>1</v>
      </c>
      <c r="D300">
        <f>COUNTIF(Sessions!$E:$E,A300)</f>
        <v>4</v>
      </c>
    </row>
    <row r="301" spans="1:4" x14ac:dyDescent="0.3">
      <c r="A301" s="3">
        <f t="shared" si="9"/>
        <v>44861</v>
      </c>
      <c r="B301">
        <f t="shared" si="8"/>
        <v>10</v>
      </c>
      <c r="C301">
        <f>SUMIFS(Sessions!$H:$H,Sessions!$E:$E,A301)</f>
        <v>1</v>
      </c>
      <c r="D301">
        <f>COUNTIF(Sessions!$E:$E,A301)</f>
        <v>5</v>
      </c>
    </row>
    <row r="302" spans="1:4" x14ac:dyDescent="0.3">
      <c r="A302" s="3">
        <f t="shared" si="9"/>
        <v>44862</v>
      </c>
      <c r="B302">
        <f t="shared" si="8"/>
        <v>10</v>
      </c>
      <c r="C302">
        <f>SUMIFS(Sessions!$H:$H,Sessions!$E:$E,A302)</f>
        <v>1</v>
      </c>
      <c r="D302">
        <f>COUNTIF(Sessions!$E:$E,A302)</f>
        <v>3</v>
      </c>
    </row>
    <row r="303" spans="1:4" x14ac:dyDescent="0.3">
      <c r="A303" s="3">
        <f t="shared" si="9"/>
        <v>44863</v>
      </c>
      <c r="B303">
        <f t="shared" si="8"/>
        <v>10</v>
      </c>
      <c r="C303">
        <f>SUMIFS(Sessions!$H:$H,Sessions!$E:$E,A303)</f>
        <v>1</v>
      </c>
      <c r="D303">
        <f>COUNTIF(Sessions!$E:$E,A303)</f>
        <v>7</v>
      </c>
    </row>
    <row r="304" spans="1:4" x14ac:dyDescent="0.3">
      <c r="A304" s="3">
        <f t="shared" si="9"/>
        <v>44864</v>
      </c>
      <c r="B304">
        <f t="shared" si="8"/>
        <v>10</v>
      </c>
      <c r="C304">
        <f>SUMIFS(Sessions!$H:$H,Sessions!$E:$E,A304)</f>
        <v>0</v>
      </c>
      <c r="D304">
        <f>COUNTIF(Sessions!$E:$E,A304)</f>
        <v>0</v>
      </c>
    </row>
    <row r="305" spans="1:4" x14ac:dyDescent="0.3">
      <c r="A305" s="3">
        <f t="shared" si="9"/>
        <v>44865</v>
      </c>
      <c r="B305">
        <f t="shared" si="8"/>
        <v>10</v>
      </c>
      <c r="C305">
        <f>SUMIFS(Sessions!$H:$H,Sessions!$E:$E,A305)</f>
        <v>0</v>
      </c>
      <c r="D305">
        <f>COUNTIF(Sessions!$E:$E,A305)</f>
        <v>0</v>
      </c>
    </row>
    <row r="306" spans="1:4" x14ac:dyDescent="0.3">
      <c r="A306" s="3">
        <f t="shared" si="9"/>
        <v>44866</v>
      </c>
      <c r="B306">
        <f t="shared" si="8"/>
        <v>11</v>
      </c>
      <c r="C306">
        <f>SUMIFS(Sessions!$H:$H,Sessions!$E:$E,A306)</f>
        <v>1</v>
      </c>
      <c r="D306">
        <f>COUNTIF(Sessions!$E:$E,A306)</f>
        <v>1</v>
      </c>
    </row>
    <row r="307" spans="1:4" x14ac:dyDescent="0.3">
      <c r="A307" s="3">
        <f t="shared" si="9"/>
        <v>44867</v>
      </c>
      <c r="B307">
        <f t="shared" si="8"/>
        <v>11</v>
      </c>
      <c r="C307">
        <f>SUMIFS(Sessions!$H:$H,Sessions!$E:$E,A307)</f>
        <v>1</v>
      </c>
      <c r="D307">
        <f>COUNTIF(Sessions!$E:$E,A307)</f>
        <v>5</v>
      </c>
    </row>
    <row r="308" spans="1:4" x14ac:dyDescent="0.3">
      <c r="A308" s="3">
        <f t="shared" si="9"/>
        <v>44868</v>
      </c>
      <c r="B308">
        <f t="shared" si="8"/>
        <v>11</v>
      </c>
      <c r="C308">
        <f>SUMIFS(Sessions!$H:$H,Sessions!$E:$E,A308)</f>
        <v>2</v>
      </c>
      <c r="D308">
        <f>COUNTIF(Sessions!$E:$E,A308)</f>
        <v>3</v>
      </c>
    </row>
    <row r="309" spans="1:4" x14ac:dyDescent="0.3">
      <c r="A309" s="3">
        <f t="shared" si="9"/>
        <v>44869</v>
      </c>
      <c r="B309">
        <f t="shared" si="8"/>
        <v>11</v>
      </c>
      <c r="C309">
        <f>SUMIFS(Sessions!$H:$H,Sessions!$E:$E,A309)</f>
        <v>0</v>
      </c>
      <c r="D309">
        <f>COUNTIF(Sessions!$E:$E,A309)</f>
        <v>0</v>
      </c>
    </row>
    <row r="310" spans="1:4" x14ac:dyDescent="0.3">
      <c r="A310" s="3">
        <f t="shared" si="9"/>
        <v>44870</v>
      </c>
      <c r="B310">
        <f t="shared" si="8"/>
        <v>11</v>
      </c>
      <c r="C310">
        <f>SUMIFS(Sessions!$H:$H,Sessions!$E:$E,A310)</f>
        <v>0</v>
      </c>
      <c r="D310">
        <f>COUNTIF(Sessions!$E:$E,A310)</f>
        <v>0</v>
      </c>
    </row>
    <row r="311" spans="1:4" x14ac:dyDescent="0.3">
      <c r="A311" s="3">
        <f t="shared" si="9"/>
        <v>44871</v>
      </c>
      <c r="B311">
        <f t="shared" si="8"/>
        <v>11</v>
      </c>
      <c r="C311">
        <f>SUMIFS(Sessions!$H:$H,Sessions!$E:$E,A311)</f>
        <v>0</v>
      </c>
      <c r="D311">
        <f>COUNTIF(Sessions!$E:$E,A311)</f>
        <v>0</v>
      </c>
    </row>
    <row r="312" spans="1:4" x14ac:dyDescent="0.3">
      <c r="A312" s="3">
        <f t="shared" si="9"/>
        <v>44872</v>
      </c>
      <c r="B312">
        <f t="shared" si="8"/>
        <v>11</v>
      </c>
      <c r="C312">
        <f>SUMIFS(Sessions!$H:$H,Sessions!$E:$E,A312)</f>
        <v>0</v>
      </c>
      <c r="D312">
        <f>COUNTIF(Sessions!$E:$E,A312)</f>
        <v>0</v>
      </c>
    </row>
    <row r="313" spans="1:4" x14ac:dyDescent="0.3">
      <c r="A313" s="3">
        <f t="shared" si="9"/>
        <v>44873</v>
      </c>
      <c r="B313">
        <f t="shared" si="8"/>
        <v>11</v>
      </c>
      <c r="C313">
        <f>SUMIFS(Sessions!$H:$H,Sessions!$E:$E,A313)</f>
        <v>0</v>
      </c>
      <c r="D313">
        <f>COUNTIF(Sessions!$E:$E,A313)</f>
        <v>0</v>
      </c>
    </row>
    <row r="314" spans="1:4" x14ac:dyDescent="0.3">
      <c r="A314" s="3">
        <f t="shared" si="9"/>
        <v>44874</v>
      </c>
      <c r="B314">
        <f t="shared" si="8"/>
        <v>11</v>
      </c>
      <c r="C314">
        <f>SUMIFS(Sessions!$H:$H,Sessions!$E:$E,A314)</f>
        <v>0</v>
      </c>
      <c r="D314">
        <f>COUNTIF(Sessions!$E:$E,A314)</f>
        <v>0</v>
      </c>
    </row>
    <row r="315" spans="1:4" x14ac:dyDescent="0.3">
      <c r="A315" s="3">
        <f t="shared" si="9"/>
        <v>44875</v>
      </c>
      <c r="B315">
        <f t="shared" si="8"/>
        <v>11</v>
      </c>
      <c r="C315">
        <f>SUMIFS(Sessions!$H:$H,Sessions!$E:$E,A315)</f>
        <v>1</v>
      </c>
      <c r="D315">
        <f>COUNTIF(Sessions!$E:$E,A315)</f>
        <v>4</v>
      </c>
    </row>
    <row r="316" spans="1:4" x14ac:dyDescent="0.3">
      <c r="A316" s="3">
        <f t="shared" si="9"/>
        <v>44876</v>
      </c>
      <c r="B316">
        <f t="shared" si="8"/>
        <v>11</v>
      </c>
      <c r="C316">
        <f>SUMIFS(Sessions!$H:$H,Sessions!$E:$E,A316)</f>
        <v>0</v>
      </c>
      <c r="D316">
        <f>COUNTIF(Sessions!$E:$E,A316)</f>
        <v>0</v>
      </c>
    </row>
    <row r="317" spans="1:4" x14ac:dyDescent="0.3">
      <c r="A317" s="3">
        <f t="shared" si="9"/>
        <v>44877</v>
      </c>
      <c r="B317">
        <f t="shared" si="8"/>
        <v>11</v>
      </c>
      <c r="C317">
        <f>SUMIFS(Sessions!$H:$H,Sessions!$E:$E,A317)</f>
        <v>0</v>
      </c>
      <c r="D317">
        <f>COUNTIF(Sessions!$E:$E,A317)</f>
        <v>0</v>
      </c>
    </row>
    <row r="318" spans="1:4" x14ac:dyDescent="0.3">
      <c r="A318" s="3">
        <f t="shared" si="9"/>
        <v>44878</v>
      </c>
      <c r="B318">
        <f t="shared" si="8"/>
        <v>11</v>
      </c>
      <c r="C318">
        <f>SUMIFS(Sessions!$H:$H,Sessions!$E:$E,A318)</f>
        <v>1</v>
      </c>
      <c r="D318">
        <f>COUNTIF(Sessions!$E:$E,A318)</f>
        <v>1</v>
      </c>
    </row>
    <row r="319" spans="1:4" x14ac:dyDescent="0.3">
      <c r="A319" s="3">
        <f t="shared" si="9"/>
        <v>44879</v>
      </c>
      <c r="B319">
        <f t="shared" si="8"/>
        <v>11</v>
      </c>
      <c r="C319">
        <f>SUMIFS(Sessions!$H:$H,Sessions!$E:$E,A319)</f>
        <v>1</v>
      </c>
      <c r="D319">
        <f>COUNTIF(Sessions!$E:$E,A319)</f>
        <v>5</v>
      </c>
    </row>
    <row r="320" spans="1:4" x14ac:dyDescent="0.3">
      <c r="A320" s="3">
        <f t="shared" si="9"/>
        <v>44880</v>
      </c>
      <c r="B320">
        <f t="shared" si="8"/>
        <v>11</v>
      </c>
      <c r="C320">
        <f>SUMIFS(Sessions!$H:$H,Sessions!$E:$E,A320)</f>
        <v>1</v>
      </c>
      <c r="D320">
        <f>COUNTIF(Sessions!$E:$E,A320)</f>
        <v>5</v>
      </c>
    </row>
    <row r="321" spans="1:4" x14ac:dyDescent="0.3">
      <c r="A321" s="3">
        <f t="shared" si="9"/>
        <v>44881</v>
      </c>
      <c r="B321">
        <f t="shared" si="8"/>
        <v>11</v>
      </c>
      <c r="C321">
        <f>SUMIFS(Sessions!$H:$H,Sessions!$E:$E,A321)</f>
        <v>1</v>
      </c>
      <c r="D321">
        <f>COUNTIF(Sessions!$E:$E,A321)</f>
        <v>6</v>
      </c>
    </row>
    <row r="322" spans="1:4" x14ac:dyDescent="0.3">
      <c r="A322" s="3">
        <f t="shared" si="9"/>
        <v>44882</v>
      </c>
      <c r="B322">
        <f t="shared" ref="B322:B366" si="10">MONTH(A322)</f>
        <v>11</v>
      </c>
      <c r="C322">
        <f>SUMIFS(Sessions!$H:$H,Sessions!$E:$E,A322)</f>
        <v>1</v>
      </c>
      <c r="D322">
        <f>COUNTIF(Sessions!$E:$E,A322)</f>
        <v>4</v>
      </c>
    </row>
    <row r="323" spans="1:4" x14ac:dyDescent="0.3">
      <c r="A323" s="3">
        <f t="shared" ref="A323:A366" si="11">A322+1</f>
        <v>44883</v>
      </c>
      <c r="B323">
        <f t="shared" si="10"/>
        <v>11</v>
      </c>
      <c r="C323">
        <f>SUMIFS(Sessions!$H:$H,Sessions!$E:$E,A323)</f>
        <v>1</v>
      </c>
      <c r="D323">
        <f>COUNTIF(Sessions!$E:$E,A323)</f>
        <v>5</v>
      </c>
    </row>
    <row r="324" spans="1:4" x14ac:dyDescent="0.3">
      <c r="A324" s="3">
        <f t="shared" si="11"/>
        <v>44884</v>
      </c>
      <c r="B324">
        <f t="shared" si="10"/>
        <v>11</v>
      </c>
      <c r="C324">
        <f>SUMIFS(Sessions!$H:$H,Sessions!$E:$E,A324)</f>
        <v>1</v>
      </c>
      <c r="D324">
        <f>COUNTIF(Sessions!$E:$E,A324)</f>
        <v>8</v>
      </c>
    </row>
    <row r="325" spans="1:4" x14ac:dyDescent="0.3">
      <c r="A325" s="3">
        <f t="shared" si="11"/>
        <v>44885</v>
      </c>
      <c r="B325">
        <f t="shared" si="10"/>
        <v>11</v>
      </c>
      <c r="C325">
        <f>SUMIFS(Sessions!$H:$H,Sessions!$E:$E,A325)</f>
        <v>3</v>
      </c>
      <c r="D325">
        <f>COUNTIF(Sessions!$E:$E,A325)</f>
        <v>6</v>
      </c>
    </row>
    <row r="326" spans="1:4" x14ac:dyDescent="0.3">
      <c r="A326" s="3">
        <f t="shared" si="11"/>
        <v>44886</v>
      </c>
      <c r="B326">
        <f t="shared" si="10"/>
        <v>11</v>
      </c>
      <c r="C326">
        <f>SUMIFS(Sessions!$H:$H,Sessions!$E:$E,A326)</f>
        <v>4</v>
      </c>
      <c r="D326">
        <f>COUNTIF(Sessions!$E:$E,A326)</f>
        <v>23</v>
      </c>
    </row>
    <row r="327" spans="1:4" x14ac:dyDescent="0.3">
      <c r="A327" s="3">
        <f t="shared" si="11"/>
        <v>44887</v>
      </c>
      <c r="B327">
        <f t="shared" si="10"/>
        <v>11</v>
      </c>
      <c r="C327">
        <f>SUMIFS(Sessions!$H:$H,Sessions!$E:$E,A327)</f>
        <v>4</v>
      </c>
      <c r="D327">
        <f>COUNTIF(Sessions!$E:$E,A327)</f>
        <v>17</v>
      </c>
    </row>
    <row r="328" spans="1:4" x14ac:dyDescent="0.3">
      <c r="A328" s="3">
        <f t="shared" si="11"/>
        <v>44888</v>
      </c>
      <c r="B328">
        <f t="shared" si="10"/>
        <v>11</v>
      </c>
      <c r="C328">
        <f>SUMIFS(Sessions!$H:$H,Sessions!$E:$E,A328)</f>
        <v>3</v>
      </c>
      <c r="D328">
        <f>COUNTIF(Sessions!$E:$E,A328)</f>
        <v>13</v>
      </c>
    </row>
    <row r="329" spans="1:4" x14ac:dyDescent="0.3">
      <c r="A329" s="3">
        <f t="shared" si="11"/>
        <v>44889</v>
      </c>
      <c r="B329">
        <f t="shared" si="10"/>
        <v>11</v>
      </c>
      <c r="C329">
        <f>SUMIFS(Sessions!$H:$H,Sessions!$E:$E,A329)</f>
        <v>2</v>
      </c>
      <c r="D329">
        <f>COUNTIF(Sessions!$E:$E,A329)</f>
        <v>13</v>
      </c>
    </row>
    <row r="330" spans="1:4" x14ac:dyDescent="0.3">
      <c r="A330" s="3">
        <f t="shared" si="11"/>
        <v>44890</v>
      </c>
      <c r="B330">
        <f t="shared" si="10"/>
        <v>11</v>
      </c>
      <c r="C330">
        <f>SUMIFS(Sessions!$H:$H,Sessions!$E:$E,A330)</f>
        <v>3</v>
      </c>
      <c r="D330">
        <f>COUNTIF(Sessions!$E:$E,A330)</f>
        <v>11</v>
      </c>
    </row>
    <row r="331" spans="1:4" x14ac:dyDescent="0.3">
      <c r="A331" s="3">
        <f t="shared" si="11"/>
        <v>44891</v>
      </c>
      <c r="B331">
        <f t="shared" si="10"/>
        <v>11</v>
      </c>
      <c r="C331">
        <f>SUMIFS(Sessions!$H:$H,Sessions!$E:$E,A331)</f>
        <v>3</v>
      </c>
      <c r="D331">
        <f>COUNTIF(Sessions!$E:$E,A331)</f>
        <v>10</v>
      </c>
    </row>
    <row r="332" spans="1:4" x14ac:dyDescent="0.3">
      <c r="A332" s="3">
        <f t="shared" si="11"/>
        <v>44892</v>
      </c>
      <c r="B332">
        <f t="shared" si="10"/>
        <v>11</v>
      </c>
      <c r="C332">
        <f>SUMIFS(Sessions!$H:$H,Sessions!$E:$E,A332)</f>
        <v>3</v>
      </c>
      <c r="D332">
        <f>COUNTIF(Sessions!$E:$E,A332)</f>
        <v>8</v>
      </c>
    </row>
    <row r="333" spans="1:4" x14ac:dyDescent="0.3">
      <c r="A333" s="3">
        <f t="shared" si="11"/>
        <v>44893</v>
      </c>
      <c r="B333">
        <f t="shared" si="10"/>
        <v>11</v>
      </c>
      <c r="C333">
        <f>SUMIFS(Sessions!$H:$H,Sessions!$E:$E,A333)</f>
        <v>1</v>
      </c>
      <c r="D333">
        <f>COUNTIF(Sessions!$E:$E,A333)</f>
        <v>6</v>
      </c>
    </row>
    <row r="334" spans="1:4" x14ac:dyDescent="0.3">
      <c r="A334" s="3">
        <f t="shared" si="11"/>
        <v>44894</v>
      </c>
      <c r="B334">
        <f t="shared" si="10"/>
        <v>11</v>
      </c>
      <c r="C334">
        <f>SUMIFS(Sessions!$H:$H,Sessions!$E:$E,A334)</f>
        <v>2</v>
      </c>
      <c r="D334">
        <f>COUNTIF(Sessions!$E:$E,A334)</f>
        <v>6</v>
      </c>
    </row>
    <row r="335" spans="1:4" x14ac:dyDescent="0.3">
      <c r="A335" s="3">
        <f t="shared" si="11"/>
        <v>44895</v>
      </c>
      <c r="B335">
        <f t="shared" si="10"/>
        <v>11</v>
      </c>
      <c r="C335">
        <f>SUMIFS(Sessions!$H:$H,Sessions!$E:$E,A335)</f>
        <v>3</v>
      </c>
      <c r="D335">
        <f>COUNTIF(Sessions!$E:$E,A335)</f>
        <v>14</v>
      </c>
    </row>
    <row r="336" spans="1:4" x14ac:dyDescent="0.3">
      <c r="A336" s="3">
        <f t="shared" si="11"/>
        <v>44896</v>
      </c>
      <c r="B336">
        <f t="shared" si="10"/>
        <v>12</v>
      </c>
      <c r="C336">
        <f>SUMIFS(Sessions!$H:$H,Sessions!$E:$E,A336)</f>
        <v>3</v>
      </c>
      <c r="D336">
        <f>COUNTIF(Sessions!$E:$E,A336)</f>
        <v>12</v>
      </c>
    </row>
    <row r="337" spans="1:4" x14ac:dyDescent="0.3">
      <c r="A337" s="3">
        <f t="shared" si="11"/>
        <v>44897</v>
      </c>
      <c r="B337">
        <f t="shared" si="10"/>
        <v>12</v>
      </c>
      <c r="C337">
        <f>SUMIFS(Sessions!$H:$H,Sessions!$E:$E,A337)</f>
        <v>2</v>
      </c>
      <c r="D337">
        <f>COUNTIF(Sessions!$E:$E,A337)</f>
        <v>9</v>
      </c>
    </row>
    <row r="338" spans="1:4" x14ac:dyDescent="0.3">
      <c r="A338" s="3">
        <f t="shared" si="11"/>
        <v>44898</v>
      </c>
      <c r="B338">
        <f t="shared" si="10"/>
        <v>12</v>
      </c>
      <c r="C338">
        <f>SUMIFS(Sessions!$H:$H,Sessions!$E:$E,A338)</f>
        <v>3</v>
      </c>
      <c r="D338">
        <f>COUNTIF(Sessions!$E:$E,A338)</f>
        <v>14</v>
      </c>
    </row>
    <row r="339" spans="1:4" x14ac:dyDescent="0.3">
      <c r="A339" s="3">
        <f t="shared" si="11"/>
        <v>44899</v>
      </c>
      <c r="B339">
        <f t="shared" si="10"/>
        <v>12</v>
      </c>
      <c r="C339">
        <f>SUMIFS(Sessions!$H:$H,Sessions!$E:$E,A339)</f>
        <v>2</v>
      </c>
      <c r="D339">
        <f>COUNTIF(Sessions!$E:$E,A339)</f>
        <v>6</v>
      </c>
    </row>
    <row r="340" spans="1:4" x14ac:dyDescent="0.3">
      <c r="A340" s="3">
        <f t="shared" si="11"/>
        <v>44900</v>
      </c>
      <c r="B340">
        <f t="shared" si="10"/>
        <v>12</v>
      </c>
      <c r="C340">
        <f>SUMIFS(Sessions!$H:$H,Sessions!$E:$E,A340)</f>
        <v>1</v>
      </c>
      <c r="D340">
        <f>COUNTIF(Sessions!$E:$E,A340)</f>
        <v>4</v>
      </c>
    </row>
    <row r="341" spans="1:4" x14ac:dyDescent="0.3">
      <c r="A341" s="3">
        <f t="shared" si="11"/>
        <v>44901</v>
      </c>
      <c r="B341">
        <f t="shared" si="10"/>
        <v>12</v>
      </c>
      <c r="C341">
        <f>SUMIFS(Sessions!$H:$H,Sessions!$E:$E,A341)</f>
        <v>1</v>
      </c>
      <c r="D341">
        <f>COUNTIF(Sessions!$E:$E,A341)</f>
        <v>6</v>
      </c>
    </row>
    <row r="342" spans="1:4" x14ac:dyDescent="0.3">
      <c r="A342" s="3">
        <f t="shared" si="11"/>
        <v>44902</v>
      </c>
      <c r="B342">
        <f t="shared" si="10"/>
        <v>12</v>
      </c>
      <c r="C342">
        <f>SUMIFS(Sessions!$H:$H,Sessions!$E:$E,A342)</f>
        <v>1</v>
      </c>
      <c r="D342">
        <f>COUNTIF(Sessions!$E:$E,A342)</f>
        <v>5</v>
      </c>
    </row>
    <row r="343" spans="1:4" x14ac:dyDescent="0.3">
      <c r="A343" s="3">
        <f t="shared" si="11"/>
        <v>44903</v>
      </c>
      <c r="B343">
        <f t="shared" si="10"/>
        <v>12</v>
      </c>
      <c r="C343">
        <f>SUMIFS(Sessions!$H:$H,Sessions!$E:$E,A343)</f>
        <v>1</v>
      </c>
      <c r="D343">
        <f>COUNTIF(Sessions!$E:$E,A343)</f>
        <v>7</v>
      </c>
    </row>
    <row r="344" spans="1:4" x14ac:dyDescent="0.3">
      <c r="A344" s="3">
        <f t="shared" si="11"/>
        <v>44904</v>
      </c>
      <c r="B344">
        <f t="shared" si="10"/>
        <v>12</v>
      </c>
      <c r="C344">
        <f>SUMIFS(Sessions!$H:$H,Sessions!$E:$E,A344)</f>
        <v>1</v>
      </c>
      <c r="D344">
        <f>COUNTIF(Sessions!$E:$E,A344)</f>
        <v>4</v>
      </c>
    </row>
    <row r="345" spans="1:4" x14ac:dyDescent="0.3">
      <c r="A345" s="3">
        <f t="shared" si="11"/>
        <v>44905</v>
      </c>
      <c r="B345">
        <f t="shared" si="10"/>
        <v>12</v>
      </c>
      <c r="C345">
        <f>SUMIFS(Sessions!$H:$H,Sessions!$E:$E,A345)</f>
        <v>1</v>
      </c>
      <c r="D345">
        <f>COUNTIF(Sessions!$E:$E,A345)</f>
        <v>4</v>
      </c>
    </row>
    <row r="346" spans="1:4" x14ac:dyDescent="0.3">
      <c r="A346" s="3">
        <f t="shared" si="11"/>
        <v>44906</v>
      </c>
      <c r="B346">
        <f t="shared" si="10"/>
        <v>12</v>
      </c>
      <c r="C346">
        <f>SUMIFS(Sessions!$H:$H,Sessions!$E:$E,A346)</f>
        <v>1</v>
      </c>
      <c r="D346">
        <f>COUNTIF(Sessions!$E:$E,A346)</f>
        <v>1</v>
      </c>
    </row>
    <row r="347" spans="1:4" x14ac:dyDescent="0.3">
      <c r="A347" s="3">
        <f t="shared" si="11"/>
        <v>44907</v>
      </c>
      <c r="B347">
        <f t="shared" si="10"/>
        <v>12</v>
      </c>
      <c r="C347">
        <f>SUMIFS(Sessions!$H:$H,Sessions!$E:$E,A347)</f>
        <v>1</v>
      </c>
      <c r="D347">
        <f>COUNTIF(Sessions!$E:$E,A347)</f>
        <v>4</v>
      </c>
    </row>
    <row r="348" spans="1:4" x14ac:dyDescent="0.3">
      <c r="A348" s="3">
        <f t="shared" si="11"/>
        <v>44908</v>
      </c>
      <c r="B348">
        <f t="shared" si="10"/>
        <v>12</v>
      </c>
      <c r="C348">
        <f>SUMIFS(Sessions!$H:$H,Sessions!$E:$E,A348)</f>
        <v>2</v>
      </c>
      <c r="D348">
        <f>COUNTIF(Sessions!$E:$E,A348)</f>
        <v>6</v>
      </c>
    </row>
    <row r="349" spans="1:4" x14ac:dyDescent="0.3">
      <c r="A349" s="3">
        <f t="shared" si="11"/>
        <v>44909</v>
      </c>
      <c r="B349">
        <f t="shared" si="10"/>
        <v>12</v>
      </c>
      <c r="C349">
        <f>SUMIFS(Sessions!$H:$H,Sessions!$E:$E,A349)</f>
        <v>2</v>
      </c>
      <c r="D349">
        <f>COUNTIF(Sessions!$E:$E,A349)</f>
        <v>8</v>
      </c>
    </row>
    <row r="350" spans="1:4" x14ac:dyDescent="0.3">
      <c r="A350" s="3">
        <f t="shared" si="11"/>
        <v>44910</v>
      </c>
      <c r="B350">
        <f t="shared" si="10"/>
        <v>12</v>
      </c>
      <c r="C350">
        <f>SUMIFS(Sessions!$H:$H,Sessions!$E:$E,A350)</f>
        <v>1</v>
      </c>
      <c r="D350">
        <f>COUNTIF(Sessions!$E:$E,A350)</f>
        <v>6</v>
      </c>
    </row>
    <row r="351" spans="1:4" x14ac:dyDescent="0.3">
      <c r="A351" s="3">
        <f t="shared" si="11"/>
        <v>44911</v>
      </c>
      <c r="B351">
        <f t="shared" si="10"/>
        <v>12</v>
      </c>
      <c r="C351">
        <f>SUMIFS(Sessions!$H:$H,Sessions!$E:$E,A351)</f>
        <v>1</v>
      </c>
      <c r="D351">
        <f>COUNTIF(Sessions!$E:$E,A351)</f>
        <v>3</v>
      </c>
    </row>
    <row r="352" spans="1:4" x14ac:dyDescent="0.3">
      <c r="A352" s="3">
        <f t="shared" si="11"/>
        <v>44912</v>
      </c>
      <c r="B352">
        <f t="shared" si="10"/>
        <v>12</v>
      </c>
      <c r="C352">
        <f>SUMIFS(Sessions!$H:$H,Sessions!$E:$E,A352)</f>
        <v>0</v>
      </c>
      <c r="D352">
        <f>COUNTIF(Sessions!$E:$E,A352)</f>
        <v>0</v>
      </c>
    </row>
    <row r="353" spans="1:4" x14ac:dyDescent="0.3">
      <c r="A353" s="3">
        <f t="shared" si="11"/>
        <v>44913</v>
      </c>
      <c r="B353">
        <f t="shared" si="10"/>
        <v>12</v>
      </c>
      <c r="C353">
        <f>SUMIFS(Sessions!$H:$H,Sessions!$E:$E,A353)</f>
        <v>0</v>
      </c>
      <c r="D353">
        <f>COUNTIF(Sessions!$E:$E,A353)</f>
        <v>0</v>
      </c>
    </row>
    <row r="354" spans="1:4" x14ac:dyDescent="0.3">
      <c r="A354" s="3">
        <f t="shared" si="11"/>
        <v>44914</v>
      </c>
      <c r="B354">
        <f t="shared" si="10"/>
        <v>12</v>
      </c>
      <c r="C354">
        <f>SUMIFS(Sessions!$H:$H,Sessions!$E:$E,A354)</f>
        <v>0</v>
      </c>
      <c r="D354">
        <f>COUNTIF(Sessions!$E:$E,A354)</f>
        <v>0</v>
      </c>
    </row>
    <row r="355" spans="1:4" x14ac:dyDescent="0.3">
      <c r="A355" s="3">
        <f t="shared" si="11"/>
        <v>44915</v>
      </c>
      <c r="B355">
        <f t="shared" si="10"/>
        <v>12</v>
      </c>
      <c r="C355">
        <f>SUMIFS(Sessions!$H:$H,Sessions!$E:$E,A355)</f>
        <v>0</v>
      </c>
      <c r="D355">
        <f>COUNTIF(Sessions!$E:$E,A355)</f>
        <v>0</v>
      </c>
    </row>
    <row r="356" spans="1:4" x14ac:dyDescent="0.3">
      <c r="A356" s="3">
        <f t="shared" si="11"/>
        <v>44916</v>
      </c>
      <c r="B356">
        <f t="shared" si="10"/>
        <v>12</v>
      </c>
      <c r="C356">
        <f>SUMIFS(Sessions!$H:$H,Sessions!$E:$E,A356)</f>
        <v>0</v>
      </c>
      <c r="D356">
        <f>COUNTIF(Sessions!$E:$E,A356)</f>
        <v>0</v>
      </c>
    </row>
    <row r="357" spans="1:4" x14ac:dyDescent="0.3">
      <c r="A357" s="3">
        <f t="shared" si="11"/>
        <v>44917</v>
      </c>
      <c r="B357">
        <f t="shared" si="10"/>
        <v>12</v>
      </c>
      <c r="C357">
        <f>SUMIFS(Sessions!$H:$H,Sessions!$E:$E,A357)</f>
        <v>0</v>
      </c>
      <c r="D357">
        <f>COUNTIF(Sessions!$E:$E,A357)</f>
        <v>0</v>
      </c>
    </row>
    <row r="358" spans="1:4" x14ac:dyDescent="0.3">
      <c r="A358" s="3">
        <f t="shared" si="11"/>
        <v>44918</v>
      </c>
      <c r="B358">
        <f t="shared" si="10"/>
        <v>12</v>
      </c>
      <c r="C358">
        <f>SUMIFS(Sessions!$H:$H,Sessions!$E:$E,A358)</f>
        <v>0</v>
      </c>
      <c r="D358">
        <f>COUNTIF(Sessions!$E:$E,A358)</f>
        <v>0</v>
      </c>
    </row>
    <row r="359" spans="1:4" x14ac:dyDescent="0.3">
      <c r="A359" s="3">
        <f t="shared" si="11"/>
        <v>44919</v>
      </c>
      <c r="B359">
        <f t="shared" si="10"/>
        <v>12</v>
      </c>
      <c r="C359">
        <f>SUMIFS(Sessions!$H:$H,Sessions!$E:$E,A359)</f>
        <v>1</v>
      </c>
      <c r="D359">
        <f>COUNTIF(Sessions!$E:$E,A359)</f>
        <v>1</v>
      </c>
    </row>
    <row r="360" spans="1:4" x14ac:dyDescent="0.3">
      <c r="A360" s="3">
        <f t="shared" si="11"/>
        <v>44920</v>
      </c>
      <c r="B360">
        <f t="shared" si="10"/>
        <v>12</v>
      </c>
      <c r="C360">
        <f>SUMIFS(Sessions!$H:$H,Sessions!$E:$E,A360)</f>
        <v>1</v>
      </c>
      <c r="D360">
        <f>COUNTIF(Sessions!$E:$E,A360)</f>
        <v>5</v>
      </c>
    </row>
    <row r="361" spans="1:4" x14ac:dyDescent="0.3">
      <c r="A361" s="3">
        <f t="shared" si="11"/>
        <v>44921</v>
      </c>
      <c r="B361">
        <f t="shared" si="10"/>
        <v>12</v>
      </c>
      <c r="C361">
        <f>SUMIFS(Sessions!$H:$H,Sessions!$E:$E,A361)</f>
        <v>3</v>
      </c>
      <c r="D361">
        <f>COUNTIF(Sessions!$E:$E,A361)</f>
        <v>9</v>
      </c>
    </row>
    <row r="362" spans="1:4" x14ac:dyDescent="0.3">
      <c r="A362" s="3">
        <f t="shared" si="11"/>
        <v>44922</v>
      </c>
      <c r="B362">
        <f t="shared" si="10"/>
        <v>12</v>
      </c>
      <c r="C362">
        <f>SUMIFS(Sessions!$H:$H,Sessions!$E:$E,A362)</f>
        <v>2</v>
      </c>
      <c r="D362">
        <f>COUNTIF(Sessions!$E:$E,A362)</f>
        <v>9</v>
      </c>
    </row>
    <row r="363" spans="1:4" x14ac:dyDescent="0.3">
      <c r="A363" s="3">
        <f t="shared" si="11"/>
        <v>44923</v>
      </c>
      <c r="B363">
        <f t="shared" si="10"/>
        <v>12</v>
      </c>
      <c r="C363">
        <f>SUMIFS(Sessions!$H:$H,Sessions!$E:$E,A363)</f>
        <v>3</v>
      </c>
      <c r="D363">
        <f>COUNTIF(Sessions!$E:$E,A363)</f>
        <v>11</v>
      </c>
    </row>
    <row r="364" spans="1:4" x14ac:dyDescent="0.3">
      <c r="A364" s="3">
        <f t="shared" si="11"/>
        <v>44924</v>
      </c>
      <c r="B364">
        <f t="shared" si="10"/>
        <v>12</v>
      </c>
      <c r="C364">
        <f>SUMIFS(Sessions!$H:$H,Sessions!$E:$E,A364)</f>
        <v>2</v>
      </c>
      <c r="D364">
        <f>COUNTIF(Sessions!$E:$E,A364)</f>
        <v>6</v>
      </c>
    </row>
    <row r="365" spans="1:4" x14ac:dyDescent="0.3">
      <c r="A365" s="3">
        <f t="shared" si="11"/>
        <v>44925</v>
      </c>
      <c r="B365">
        <f t="shared" si="10"/>
        <v>12</v>
      </c>
      <c r="C365">
        <f>SUMIFS(Sessions!$H:$H,Sessions!$E:$E,A365)</f>
        <v>2</v>
      </c>
      <c r="D365">
        <f>COUNTIF(Sessions!$E:$E,A365)</f>
        <v>6</v>
      </c>
    </row>
    <row r="366" spans="1:4" x14ac:dyDescent="0.3">
      <c r="A366" s="3">
        <f t="shared" si="11"/>
        <v>44926</v>
      </c>
      <c r="B366">
        <f t="shared" si="10"/>
        <v>12</v>
      </c>
      <c r="C366">
        <f>SUMIFS(Sessions!$H:$H,Sessions!$E:$E,A366)</f>
        <v>1</v>
      </c>
      <c r="D366">
        <f>COUNTIF(Sessions!$E:$E,A366)</f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E684-CD7B-4FC9-ACF2-F9F671624431}">
  <dimension ref="A1:F24"/>
  <sheetViews>
    <sheetView workbookViewId="0">
      <selection activeCell="K34" sqref="K34"/>
    </sheetView>
  </sheetViews>
  <sheetFormatPr baseColWidth="10" defaultRowHeight="14.4" x14ac:dyDescent="0.3"/>
  <cols>
    <col min="1" max="1" width="29.88671875" bestFit="1" customWidth="1"/>
    <col min="2" max="2" width="9.5546875" bestFit="1" customWidth="1"/>
    <col min="3" max="3" width="18" bestFit="1" customWidth="1"/>
    <col min="4" max="4" width="11.33203125" bestFit="1" customWidth="1"/>
    <col min="5" max="5" width="15.77734375" bestFit="1" customWidth="1"/>
    <col min="6" max="6" width="12.88671875" bestFit="1" customWidth="1"/>
  </cols>
  <sheetData>
    <row r="1" spans="1:6" x14ac:dyDescent="0.3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161</v>
      </c>
    </row>
    <row r="2" spans="1:6" x14ac:dyDescent="0.3">
      <c r="A2" t="s">
        <v>6</v>
      </c>
      <c r="B2" s="7" t="s">
        <v>170</v>
      </c>
      <c r="C2">
        <f>COUNTIF(Users!$N$2:$N$101,B2)</f>
        <v>56</v>
      </c>
      <c r="D2" s="5">
        <f>AVERAGEIF(Users!$N$2:$N$101,B2,Users!$H$2:$H$101)</f>
        <v>10.321428571428571</v>
      </c>
      <c r="E2" s="5">
        <f>AVERAGEIF(Users!$N$2:$N$101,B2,Users!$I$2:$I$101)</f>
        <v>2.4187499999999997</v>
      </c>
      <c r="F2" s="8">
        <f>AVERAGEIF(Users!$N$2:$N$101,B2,Users!$J$2:$J$101)</f>
        <v>0.5</v>
      </c>
    </row>
    <row r="3" spans="1:6" x14ac:dyDescent="0.3">
      <c r="A3" t="s">
        <v>6</v>
      </c>
      <c r="B3" s="7" t="s">
        <v>171</v>
      </c>
      <c r="C3">
        <f>COUNTIF(Users!$N$2:$N$101,B3)</f>
        <v>44</v>
      </c>
      <c r="D3" s="5">
        <f>AVERAGEIF(Users!$N$2:$N$101,B3,Users!$H$2:$H$101)</f>
        <v>13.772727272727273</v>
      </c>
      <c r="E3" s="5">
        <f>AVERAGEIF(Users!$N$2:$N$101,B3,Users!$I$2:$I$101)</f>
        <v>6.6902272727272738</v>
      </c>
      <c r="F3" s="8">
        <f>AVERAGEIF(Users!$N$2:$N$101,B3,Users!$J$2:$J$101)</f>
        <v>0.5</v>
      </c>
    </row>
    <row r="4" spans="1:6" x14ac:dyDescent="0.3">
      <c r="A4" t="s">
        <v>5</v>
      </c>
      <c r="B4" s="7" t="s">
        <v>172</v>
      </c>
      <c r="C4">
        <f>COUNTIF(Users!$O$2:$O$101,B4)</f>
        <v>21</v>
      </c>
      <c r="D4" s="5">
        <f>AVERAGEIF(Users!$O$2:$O$101,B4,Users!$H$2:$H$101)</f>
        <v>10.428571428571429</v>
      </c>
      <c r="E4" s="5">
        <f>AVERAGEIF(Users!$O$2:$O$101,B4,Users!$I$2:$I$101)</f>
        <v>3.6547619047619047</v>
      </c>
      <c r="F4" s="8">
        <f>AVERAGEIF(Users!$O$2:$O$101,B4,Users!$J$2:$J$101)</f>
        <v>0.61904761904761907</v>
      </c>
    </row>
    <row r="5" spans="1:6" x14ac:dyDescent="0.3">
      <c r="A5" t="s">
        <v>5</v>
      </c>
      <c r="B5" s="7" t="s">
        <v>173</v>
      </c>
      <c r="C5">
        <f>COUNTIF(Users!$O$2:$O$101,B5)</f>
        <v>17</v>
      </c>
      <c r="D5" s="5">
        <f>AVERAGEIF(Users!$O$2:$O$101,B5,Users!$H$2:$H$101)</f>
        <v>16.294117647058822</v>
      </c>
      <c r="E5" s="5">
        <f>AVERAGEIF(Users!$O$2:$O$101,B5,Users!$I$2:$I$101)</f>
        <v>4.5170588235294122</v>
      </c>
      <c r="F5" s="8">
        <f>AVERAGEIF(Users!$O$2:$O$101,B5,Users!$J$2:$J$101)</f>
        <v>0.52941176470588236</v>
      </c>
    </row>
    <row r="6" spans="1:6" x14ac:dyDescent="0.3">
      <c r="A6" t="s">
        <v>5</v>
      </c>
      <c r="B6" s="7" t="s">
        <v>174</v>
      </c>
      <c r="C6">
        <f>COUNTIF(Users!$O$2:$O$101,B6)</f>
        <v>23</v>
      </c>
      <c r="D6" s="5">
        <f>AVERAGEIF(Users!$O$2:$O$101,B6,Users!$H$2:$H$101)</f>
        <v>12.956521739130435</v>
      </c>
      <c r="E6" s="5">
        <f>AVERAGEIF(Users!$O$2:$O$101,B6,Users!$I$2:$I$101)</f>
        <v>5.3326086956521745</v>
      </c>
      <c r="F6" s="8">
        <f>AVERAGEIF(Users!$O$2:$O$101,B6,Users!$J$2:$J$101)</f>
        <v>0.47826086956521741</v>
      </c>
    </row>
    <row r="7" spans="1:6" x14ac:dyDescent="0.3">
      <c r="A7" t="s">
        <v>5</v>
      </c>
      <c r="B7" s="7" t="s">
        <v>175</v>
      </c>
      <c r="C7">
        <f>COUNTIF(Users!$O$2:$O$101,B7)</f>
        <v>39</v>
      </c>
      <c r="D7" s="5">
        <f>AVERAGEIF(Users!$O$2:$O$101,B7,Users!$H$2:$H$101)</f>
        <v>10</v>
      </c>
      <c r="E7" s="5">
        <f>AVERAGEIF(Users!$O$2:$O$101,B7,Users!$I$2:$I$101)</f>
        <v>3.9392307692307691</v>
      </c>
      <c r="F7" s="8">
        <f>AVERAGEIF(Users!$O$2:$O$101,B7,Users!$J$2:$J$101)</f>
        <v>0.4358974358974359</v>
      </c>
    </row>
    <row r="8" spans="1:6" x14ac:dyDescent="0.3">
      <c r="A8" t="s">
        <v>4</v>
      </c>
      <c r="B8" s="7" t="s">
        <v>24</v>
      </c>
      <c r="C8">
        <f>COUNTIF(Users!$C$2:$C$101,B8)</f>
        <v>17</v>
      </c>
      <c r="D8" s="5">
        <f>AVERAGEIF(Users!$C$2:$C$101,B8,Users!$H$2:$H$101)</f>
        <v>9.9411764705882355</v>
      </c>
      <c r="E8" s="5">
        <f>AVERAGEIF(Users!$C$2:$C$101,B8,Users!$I$2:$I$101)</f>
        <v>1.52</v>
      </c>
      <c r="F8" s="8">
        <f>AVERAGEIF(Users!$C$2:$C$101,B8,Users!$J$2:$J$101)</f>
        <v>0.41176470588235292</v>
      </c>
    </row>
    <row r="9" spans="1:6" x14ac:dyDescent="0.3">
      <c r="A9" t="s">
        <v>4</v>
      </c>
      <c r="B9" s="7" t="s">
        <v>19</v>
      </c>
      <c r="C9">
        <f>COUNTIF(Users!$C$2:$C$101,B9)</f>
        <v>21</v>
      </c>
      <c r="D9" s="5">
        <f>AVERAGEIF(Users!$C$2:$C$101,B9,Users!$H$2:$H$101)</f>
        <v>9.9047619047619051</v>
      </c>
      <c r="E9" s="5">
        <f>AVERAGEIF(Users!$C$2:$C$101,B9,Users!$I$2:$I$101)</f>
        <v>5.2290476190476198</v>
      </c>
      <c r="F9" s="8">
        <f>AVERAGEIF(Users!$C$2:$C$101,B9,Users!$J$2:$J$101)</f>
        <v>0.47619047619047616</v>
      </c>
    </row>
    <row r="10" spans="1:6" x14ac:dyDescent="0.3">
      <c r="A10" t="s">
        <v>4</v>
      </c>
      <c r="B10" s="7" t="s">
        <v>41</v>
      </c>
      <c r="C10">
        <f>COUNTIF(Users!$C$2:$C$101,B10)</f>
        <v>8</v>
      </c>
      <c r="D10" s="5">
        <f>AVERAGEIF(Users!$C$2:$C$101,B10,Users!$H$2:$H$101)</f>
        <v>12.75</v>
      </c>
      <c r="E10" s="5">
        <f>AVERAGEIF(Users!$C$2:$C$101,B10,Users!$I$2:$I$101)</f>
        <v>8.9837500000000006</v>
      </c>
      <c r="F10" s="8">
        <f>AVERAGEIF(Users!$C$2:$C$101,B10,Users!$J$2:$J$101)</f>
        <v>0.625</v>
      </c>
    </row>
    <row r="11" spans="1:6" x14ac:dyDescent="0.3">
      <c r="A11" t="s">
        <v>4</v>
      </c>
      <c r="B11" s="7" t="s">
        <v>22</v>
      </c>
      <c r="C11">
        <f>COUNTIF(Users!$C$2:$C$101,B11)</f>
        <v>19</v>
      </c>
      <c r="D11" s="5">
        <f>AVERAGEIF(Users!$C$2:$C$101,B11,Users!$H$2:$H$101)</f>
        <v>8.7894736842105257</v>
      </c>
      <c r="E11" s="5">
        <f>AVERAGEIF(Users!$C$2:$C$101,B11,Users!$I$2:$I$101)</f>
        <v>2.8363157894736841</v>
      </c>
      <c r="F11" s="8">
        <f>AVERAGEIF(Users!$C$2:$C$101,B11,Users!$J$2:$J$101)</f>
        <v>0.26315789473684209</v>
      </c>
    </row>
    <row r="12" spans="1:6" x14ac:dyDescent="0.3">
      <c r="A12" t="s">
        <v>4</v>
      </c>
      <c r="B12" s="7" t="s">
        <v>26</v>
      </c>
      <c r="C12">
        <f>COUNTIF(Users!$C$2:$C$101,B12)</f>
        <v>20</v>
      </c>
      <c r="D12" s="5">
        <f>AVERAGEIF(Users!$C$2:$C$101,B12,Users!$H$2:$H$101)</f>
        <v>19.600000000000001</v>
      </c>
      <c r="E12" s="5">
        <f>AVERAGEIF(Users!$C$2:$C$101,B12,Users!$I$2:$I$101)</f>
        <v>7.2264999999999997</v>
      </c>
      <c r="F12" s="8">
        <f>AVERAGEIF(Users!$C$2:$C$101,B12,Users!$J$2:$J$101)</f>
        <v>0.85</v>
      </c>
    </row>
    <row r="13" spans="1:6" x14ac:dyDescent="0.3">
      <c r="A13" t="s">
        <v>4</v>
      </c>
      <c r="B13" s="7" t="s">
        <v>28</v>
      </c>
      <c r="C13">
        <f>COUNTIF(Users!$C$2:$C$101,B13)</f>
        <v>15</v>
      </c>
      <c r="D13" s="5">
        <f>AVERAGEIF(Users!$C$2:$C$101,B13,Users!$H$2:$H$101)</f>
        <v>9.7333333333333325</v>
      </c>
      <c r="E13" s="5">
        <f>AVERAGEIF(Users!$C$2:$C$101,B13,Users!$I$2:$I$101)</f>
        <v>1.5919999999999999</v>
      </c>
      <c r="F13" s="8">
        <f>AVERAGEIF(Users!$C$2:$C$101,B13,Users!$J$2:$J$101)</f>
        <v>0.4</v>
      </c>
    </row>
    <row r="14" spans="1:6" x14ac:dyDescent="0.3">
      <c r="A14" t="s">
        <v>176</v>
      </c>
      <c r="B14" s="7" t="s">
        <v>177</v>
      </c>
      <c r="C14">
        <f>COUNTIF(Users!$P$2:$P$101,B14)</f>
        <v>45</v>
      </c>
      <c r="D14" s="5">
        <f>AVERAGEIF(Users!$P$2:$P$101,B14,Users!$H$2:$H$101)</f>
        <v>2.911111111111111</v>
      </c>
      <c r="E14" s="5">
        <f>AVERAGEIF(Users!$P$2:$P$101,B14,Users!$I$2:$I$101)</f>
        <v>0.75244444444444447</v>
      </c>
      <c r="F14" s="8">
        <f>AVERAGEIF(Users!$P$2:$P$101,B14,Users!$J$2:$J$101)</f>
        <v>0.26666666666666666</v>
      </c>
    </row>
    <row r="15" spans="1:6" x14ac:dyDescent="0.3">
      <c r="A15" t="s">
        <v>176</v>
      </c>
      <c r="B15" s="7" t="s">
        <v>178</v>
      </c>
      <c r="C15">
        <f>COUNTIF(Users!$P$2:$P$101,B15)</f>
        <v>55</v>
      </c>
      <c r="D15" s="5">
        <f>AVERAGEIF(Users!$P$2:$P$101,B15,Users!$H$2:$H$101)</f>
        <v>19.145454545454545</v>
      </c>
      <c r="E15" s="5">
        <f>AVERAGEIF(Users!$P$2:$P$101,B15,Users!$I$2:$I$101)</f>
        <v>7.1992727272727279</v>
      </c>
      <c r="F15" s="8">
        <f>AVERAGEIF(Users!$P$2:$P$101,B15,Users!$J$2:$J$101)</f>
        <v>0.69090909090909092</v>
      </c>
    </row>
    <row r="18" spans="1:3" x14ac:dyDescent="0.3">
      <c r="A18" s="1"/>
      <c r="B18" s="1"/>
      <c r="C18" s="1"/>
    </row>
    <row r="19" spans="1:3" x14ac:dyDescent="0.3">
      <c r="B19" s="9"/>
    </row>
    <row r="20" spans="1:3" x14ac:dyDescent="0.3">
      <c r="B20" s="9"/>
    </row>
    <row r="21" spans="1:3" x14ac:dyDescent="0.3">
      <c r="B21" s="9"/>
    </row>
    <row r="22" spans="1:3" x14ac:dyDescent="0.3">
      <c r="B22" s="9"/>
    </row>
    <row r="23" spans="1:3" x14ac:dyDescent="0.3">
      <c r="B23" s="9"/>
    </row>
    <row r="24" spans="1:3" x14ac:dyDescent="0.3">
      <c r="B24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50DE-B11E-4CDD-8BD9-60B8E2C45338}">
  <dimension ref="A1:R101"/>
  <sheetViews>
    <sheetView workbookViewId="0">
      <selection activeCell="Q2" sqref="Q2"/>
    </sheetView>
  </sheetViews>
  <sheetFormatPr baseColWidth="10" defaultRowHeight="14.4" x14ac:dyDescent="0.3"/>
  <cols>
    <col min="1" max="1" width="6.5546875" bestFit="1" customWidth="1"/>
    <col min="2" max="2" width="13.33203125" bestFit="1" customWidth="1"/>
    <col min="3" max="3" width="9.5546875" bestFit="1" customWidth="1"/>
    <col min="4" max="4" width="4" bestFit="1" customWidth="1"/>
    <col min="5" max="5" width="10" bestFit="1" customWidth="1"/>
    <col min="6" max="6" width="17.88671875" bestFit="1" customWidth="1"/>
    <col min="7" max="7" width="10.33203125" bestFit="1" customWidth="1"/>
    <col min="8" max="8" width="8.33203125" bestFit="1" customWidth="1"/>
    <col min="9" max="9" width="8" bestFit="1" customWidth="1"/>
    <col min="10" max="10" width="5.6640625" bestFit="1" customWidth="1"/>
    <col min="11" max="13" width="3.21875" bestFit="1" customWidth="1"/>
    <col min="14" max="14" width="12.21875" bestFit="1" customWidth="1"/>
    <col min="15" max="15" width="9.109375" bestFit="1" customWidth="1"/>
    <col min="16" max="16" width="10.5546875" bestFit="1" customWidth="1"/>
    <col min="17" max="17" width="6.88671875" customWidth="1"/>
  </cols>
  <sheetData>
    <row r="1" spans="1:18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181</v>
      </c>
      <c r="R1" s="1" t="s">
        <v>182</v>
      </c>
    </row>
    <row r="2" spans="1:18" x14ac:dyDescent="0.3">
      <c r="A2">
        <v>7</v>
      </c>
      <c r="B2" t="s">
        <v>18</v>
      </c>
      <c r="C2" t="s">
        <v>19</v>
      </c>
      <c r="D2">
        <v>38</v>
      </c>
      <c r="E2">
        <v>4.2927300000000002E-2</v>
      </c>
      <c r="F2" s="2">
        <v>44594.27784722222</v>
      </c>
      <c r="G2" s="3">
        <f t="shared" ref="G2:G33" si="0">INT(F2)</f>
        <v>44594</v>
      </c>
      <c r="H2">
        <f>COUNTIF(Sessions!$B:$B,A2)</f>
        <v>1</v>
      </c>
      <c r="I2" s="5">
        <f>SUMIFS(Purchases!$E:$E,Purchases!$F:$F,A2)</f>
        <v>0</v>
      </c>
      <c r="J2">
        <f t="shared" ref="J2:J33" si="1">IF(I2&gt;0,1,0)</f>
        <v>0</v>
      </c>
      <c r="K2">
        <f>IF(COUNTIFS(Sessions!$B:$B,A2,Sessions!$E:$E,G2+1)&gt;0,1,0)</f>
        <v>0</v>
      </c>
      <c r="L2">
        <f>IF(COUNTIFS(Sessions!$B:$B,A2,Sessions!$E:$E,G2+3)&gt;0,1,0)</f>
        <v>0</v>
      </c>
      <c r="M2">
        <f>IF(COUNTIFS(Sessions!$B:$B,A2,Sessions!$E:$E,G2+7)&gt;0,1,0)</f>
        <v>0</v>
      </c>
      <c r="N2" t="str">
        <f t="shared" ref="N2:N33" si="2">IF(E2&lt;0.5,"A (&lt;0.5)","B (&gt;=0.5)")</f>
        <v>A (&lt;0.5)</v>
      </c>
      <c r="O2" t="str">
        <f t="shared" ref="O2:O33" si="3">IF(D2&lt;=24,"12-24",IF(D2&lt;=44,"25-44",IF(D2&lt;=64,"45-64","65+")))</f>
        <v>25-44</v>
      </c>
      <c r="P2" t="str">
        <f t="shared" ref="P2:P33" si="4">IF(MONTH(F2)&lt;6,"Jan-May","Jun-Dec")</f>
        <v>Jan-May</v>
      </c>
      <c r="Q2" s="10">
        <f>IF(COUNTIFS(Sessions!$B:$B,A2,Sessions!$E:$E,G2+$R$2)&gt;0,1,0)</f>
        <v>0</v>
      </c>
      <c r="R2">
        <v>1</v>
      </c>
    </row>
    <row r="3" spans="1:18" x14ac:dyDescent="0.3">
      <c r="A3">
        <v>8</v>
      </c>
      <c r="B3" t="s">
        <v>20</v>
      </c>
      <c r="C3" t="s">
        <v>19</v>
      </c>
      <c r="D3">
        <v>15</v>
      </c>
      <c r="E3">
        <v>0.77404099999999998</v>
      </c>
      <c r="F3" s="2">
        <v>44741.52679398148</v>
      </c>
      <c r="G3" s="3">
        <f t="shared" si="0"/>
        <v>44741</v>
      </c>
      <c r="H3">
        <f>COUNTIF(Sessions!$B:$B,A3)</f>
        <v>27</v>
      </c>
      <c r="I3" s="5">
        <f>SUMIFS(Purchases!$E:$E,Purchases!$F:$F,A3)</f>
        <v>5.98</v>
      </c>
      <c r="J3">
        <f t="shared" si="1"/>
        <v>1</v>
      </c>
      <c r="K3">
        <f>IF(COUNTIFS(Sessions!$B:$B,A3,Sessions!$E:$E,G3+1)&gt;0,1,0)</f>
        <v>1</v>
      </c>
      <c r="L3">
        <f>IF(COUNTIFS(Sessions!$B:$B,A3,Sessions!$E:$E,G3+3)&gt;0,1,0)</f>
        <v>1</v>
      </c>
      <c r="M3">
        <f>IF(COUNTIFS(Sessions!$B:$B,A3,Sessions!$E:$E,G3+7)&gt;0,1,0)</f>
        <v>0</v>
      </c>
      <c r="N3" t="str">
        <f t="shared" si="2"/>
        <v>B (&gt;=0.5)</v>
      </c>
      <c r="O3" t="str">
        <f t="shared" si="3"/>
        <v>12-24</v>
      </c>
      <c r="P3" t="str">
        <f t="shared" si="4"/>
        <v>Jun-Dec</v>
      </c>
      <c r="Q3" s="10">
        <f>IF(COUNTIFS(Sessions!$B:$B,A3,Sessions!$E:$E,G3+$R$2)&gt;0,1,0)</f>
        <v>1</v>
      </c>
    </row>
    <row r="4" spans="1:18" x14ac:dyDescent="0.3">
      <c r="A4">
        <v>9</v>
      </c>
      <c r="B4" t="s">
        <v>21</v>
      </c>
      <c r="C4" t="s">
        <v>22</v>
      </c>
      <c r="D4">
        <v>14</v>
      </c>
      <c r="E4">
        <v>0.98555000000000004</v>
      </c>
      <c r="F4" s="2">
        <v>44721.013668981483</v>
      </c>
      <c r="G4" s="3">
        <f t="shared" si="0"/>
        <v>44721</v>
      </c>
      <c r="H4">
        <f>COUNTIF(Sessions!$B:$B,A4)</f>
        <v>16</v>
      </c>
      <c r="I4" s="5">
        <f>SUMIFS(Purchases!$E:$E,Purchases!$F:$F,A4)</f>
        <v>8.9700000000000006</v>
      </c>
      <c r="J4">
        <f t="shared" si="1"/>
        <v>1</v>
      </c>
      <c r="K4">
        <f>IF(COUNTIFS(Sessions!$B:$B,A4,Sessions!$E:$E,G4+1)&gt;0,1,0)</f>
        <v>1</v>
      </c>
      <c r="L4">
        <f>IF(COUNTIFS(Sessions!$B:$B,A4,Sessions!$E:$E,G4+3)&gt;0,1,0)</f>
        <v>1</v>
      </c>
      <c r="M4">
        <f>IF(COUNTIFS(Sessions!$B:$B,A4,Sessions!$E:$E,G4+7)&gt;0,1,0)</f>
        <v>0</v>
      </c>
      <c r="N4" t="str">
        <f t="shared" si="2"/>
        <v>B (&gt;=0.5)</v>
      </c>
      <c r="O4" t="str">
        <f t="shared" si="3"/>
        <v>12-24</v>
      </c>
      <c r="P4" t="str">
        <f t="shared" si="4"/>
        <v>Jun-Dec</v>
      </c>
      <c r="Q4" s="10">
        <f>IF(COUNTIFS(Sessions!$B:$B,A4,Sessions!$E:$E,G4+$R$2)&gt;0,1,0)</f>
        <v>1</v>
      </c>
    </row>
    <row r="5" spans="1:18" x14ac:dyDescent="0.3">
      <c r="A5">
        <v>10</v>
      </c>
      <c r="B5" t="s">
        <v>23</v>
      </c>
      <c r="C5" t="s">
        <v>24</v>
      </c>
      <c r="D5">
        <v>73</v>
      </c>
      <c r="E5">
        <v>0.99124699999999999</v>
      </c>
      <c r="F5" s="2">
        <v>44628.620243055557</v>
      </c>
      <c r="G5" s="3">
        <f t="shared" si="0"/>
        <v>44628</v>
      </c>
      <c r="H5">
        <f>COUNTIF(Sessions!$B:$B,A5)</f>
        <v>3</v>
      </c>
      <c r="I5" s="5">
        <f>SUMIFS(Purchases!$E:$E,Purchases!$F:$F,A5)</f>
        <v>0</v>
      </c>
      <c r="J5">
        <f t="shared" si="1"/>
        <v>0</v>
      </c>
      <c r="K5">
        <f>IF(COUNTIFS(Sessions!$B:$B,A5,Sessions!$E:$E,G5+1)&gt;0,1,0)</f>
        <v>1</v>
      </c>
      <c r="L5">
        <f>IF(COUNTIFS(Sessions!$B:$B,A5,Sessions!$E:$E,G5+3)&gt;0,1,0)</f>
        <v>0</v>
      </c>
      <c r="M5">
        <f>IF(COUNTIFS(Sessions!$B:$B,A5,Sessions!$E:$E,G5+7)&gt;0,1,0)</f>
        <v>0</v>
      </c>
      <c r="N5" t="str">
        <f t="shared" si="2"/>
        <v>B (&gt;=0.5)</v>
      </c>
      <c r="O5" t="str">
        <f t="shared" si="3"/>
        <v>65+</v>
      </c>
      <c r="P5" t="str">
        <f t="shared" si="4"/>
        <v>Jan-May</v>
      </c>
      <c r="Q5" s="10">
        <f>IF(COUNTIFS(Sessions!$B:$B,A5,Sessions!$E:$E,G5+$R$2)&gt;0,1,0)</f>
        <v>1</v>
      </c>
    </row>
    <row r="6" spans="1:18" x14ac:dyDescent="0.3">
      <c r="A6">
        <v>11</v>
      </c>
      <c r="B6" t="s">
        <v>25</v>
      </c>
      <c r="C6" t="s">
        <v>26</v>
      </c>
      <c r="D6">
        <v>23</v>
      </c>
      <c r="E6">
        <v>0.402055</v>
      </c>
      <c r="F6" s="2">
        <v>44923.631145833337</v>
      </c>
      <c r="G6" s="3">
        <f t="shared" si="0"/>
        <v>44923</v>
      </c>
      <c r="H6">
        <f>COUNTIF(Sessions!$B:$B,A6)</f>
        <v>7</v>
      </c>
      <c r="I6" s="5">
        <f>SUMIFS(Purchases!$E:$E,Purchases!$F:$F,A6)</f>
        <v>1.98</v>
      </c>
      <c r="J6">
        <f t="shared" si="1"/>
        <v>1</v>
      </c>
      <c r="K6">
        <f>IF(COUNTIFS(Sessions!$B:$B,A6,Sessions!$E:$E,G6+1)&gt;0,1,0)</f>
        <v>1</v>
      </c>
      <c r="L6">
        <f>IF(COUNTIFS(Sessions!$B:$B,A6,Sessions!$E:$E,G6+3)&gt;0,1,0)</f>
        <v>0</v>
      </c>
      <c r="M6">
        <f>IF(COUNTIFS(Sessions!$B:$B,A6,Sessions!$E:$E,G6+7)&gt;0,1,0)</f>
        <v>0</v>
      </c>
      <c r="N6" t="str">
        <f t="shared" si="2"/>
        <v>A (&lt;0.5)</v>
      </c>
      <c r="O6" t="str">
        <f t="shared" si="3"/>
        <v>12-24</v>
      </c>
      <c r="P6" t="str">
        <f t="shared" si="4"/>
        <v>Jun-Dec</v>
      </c>
      <c r="Q6" s="10">
        <f>IF(COUNTIFS(Sessions!$B:$B,A6,Sessions!$E:$E,G6+$R$2)&gt;0,1,0)</f>
        <v>1</v>
      </c>
    </row>
    <row r="7" spans="1:18" x14ac:dyDescent="0.3">
      <c r="A7">
        <v>12</v>
      </c>
      <c r="B7" t="s">
        <v>27</v>
      </c>
      <c r="C7" t="s">
        <v>28</v>
      </c>
      <c r="D7">
        <v>18</v>
      </c>
      <c r="E7">
        <v>0.97242200000000001</v>
      </c>
      <c r="F7" s="2">
        <v>44733.647199074076</v>
      </c>
      <c r="G7" s="3">
        <f t="shared" si="0"/>
        <v>44733</v>
      </c>
      <c r="H7">
        <f>COUNTIF(Sessions!$B:$B,A7)</f>
        <v>7</v>
      </c>
      <c r="I7" s="5">
        <f>SUMIFS(Purchases!$E:$E,Purchases!$F:$F,A7)</f>
        <v>0.99</v>
      </c>
      <c r="J7">
        <f t="shared" si="1"/>
        <v>1</v>
      </c>
      <c r="K7">
        <f>IF(COUNTIFS(Sessions!$B:$B,A7,Sessions!$E:$E,G7+1)&gt;0,1,0)</f>
        <v>1</v>
      </c>
      <c r="L7">
        <f>IF(COUNTIFS(Sessions!$B:$B,A7,Sessions!$E:$E,G7+3)&gt;0,1,0)</f>
        <v>0</v>
      </c>
      <c r="M7">
        <f>IF(COUNTIFS(Sessions!$B:$B,A7,Sessions!$E:$E,G7+7)&gt;0,1,0)</f>
        <v>0</v>
      </c>
      <c r="N7" t="str">
        <f t="shared" si="2"/>
        <v>B (&gt;=0.5)</v>
      </c>
      <c r="O7" t="str">
        <f t="shared" si="3"/>
        <v>12-24</v>
      </c>
      <c r="P7" t="str">
        <f t="shared" si="4"/>
        <v>Jun-Dec</v>
      </c>
      <c r="Q7" s="10">
        <f>IF(COUNTIFS(Sessions!$B:$B,A7,Sessions!$E:$E,G7+$R$2)&gt;0,1,0)</f>
        <v>1</v>
      </c>
    </row>
    <row r="8" spans="1:18" x14ac:dyDescent="0.3">
      <c r="A8">
        <v>13</v>
      </c>
      <c r="B8" t="s">
        <v>29</v>
      </c>
      <c r="C8" t="s">
        <v>19</v>
      </c>
      <c r="D8">
        <v>83</v>
      </c>
      <c r="E8">
        <v>0.77600100000000005</v>
      </c>
      <c r="F8" s="2">
        <v>44868.360462962963</v>
      </c>
      <c r="G8" s="3">
        <f t="shared" si="0"/>
        <v>44868</v>
      </c>
      <c r="H8">
        <f>COUNTIF(Sessions!$B:$B,A8)</f>
        <v>1</v>
      </c>
      <c r="I8" s="5">
        <f>SUMIFS(Purchases!$E:$E,Purchases!$F:$F,A8)</f>
        <v>0</v>
      </c>
      <c r="J8">
        <f t="shared" si="1"/>
        <v>0</v>
      </c>
      <c r="K8">
        <f>IF(COUNTIFS(Sessions!$B:$B,A8,Sessions!$E:$E,G8+1)&gt;0,1,0)</f>
        <v>0</v>
      </c>
      <c r="L8">
        <f>IF(COUNTIFS(Sessions!$B:$B,A8,Sessions!$E:$E,G8+3)&gt;0,1,0)</f>
        <v>0</v>
      </c>
      <c r="M8">
        <f>IF(COUNTIFS(Sessions!$B:$B,A8,Sessions!$E:$E,G8+7)&gt;0,1,0)</f>
        <v>0</v>
      </c>
      <c r="N8" t="str">
        <f t="shared" si="2"/>
        <v>B (&gt;=0.5)</v>
      </c>
      <c r="O8" t="str">
        <f t="shared" si="3"/>
        <v>65+</v>
      </c>
      <c r="P8" t="str">
        <f t="shared" si="4"/>
        <v>Jun-Dec</v>
      </c>
      <c r="Q8" s="10">
        <f>IF(COUNTIFS(Sessions!$B:$B,A8,Sessions!$E:$E,G8+$R$2)&gt;0,1,0)</f>
        <v>0</v>
      </c>
    </row>
    <row r="9" spans="1:18" x14ac:dyDescent="0.3">
      <c r="A9">
        <v>14</v>
      </c>
      <c r="B9" t="s">
        <v>30</v>
      </c>
      <c r="C9" t="s">
        <v>19</v>
      </c>
      <c r="D9">
        <v>96</v>
      </c>
      <c r="E9">
        <v>0.96881200000000001</v>
      </c>
      <c r="F9" s="2">
        <v>44567.978634259256</v>
      </c>
      <c r="G9" s="3">
        <f t="shared" si="0"/>
        <v>44567</v>
      </c>
      <c r="H9">
        <f>COUNTIF(Sessions!$B:$B,A9)</f>
        <v>1</v>
      </c>
      <c r="I9" s="5">
        <f>SUMIFS(Purchases!$E:$E,Purchases!$F:$F,A9)</f>
        <v>0</v>
      </c>
      <c r="J9">
        <f t="shared" si="1"/>
        <v>0</v>
      </c>
      <c r="K9">
        <f>IF(COUNTIFS(Sessions!$B:$B,A9,Sessions!$E:$E,G9+1)&gt;0,1,0)</f>
        <v>0</v>
      </c>
      <c r="L9">
        <f>IF(COUNTIFS(Sessions!$B:$B,A9,Sessions!$E:$E,G9+3)&gt;0,1,0)</f>
        <v>0</v>
      </c>
      <c r="M9">
        <f>IF(COUNTIFS(Sessions!$B:$B,A9,Sessions!$E:$E,G9+7)&gt;0,1,0)</f>
        <v>0</v>
      </c>
      <c r="N9" t="str">
        <f t="shared" si="2"/>
        <v>B (&gt;=0.5)</v>
      </c>
      <c r="O9" t="str">
        <f t="shared" si="3"/>
        <v>65+</v>
      </c>
      <c r="P9" t="str">
        <f t="shared" si="4"/>
        <v>Jan-May</v>
      </c>
      <c r="Q9" s="10">
        <f>IF(COUNTIFS(Sessions!$B:$B,A9,Sessions!$E:$E,G9+$R$2)&gt;0,1,0)</f>
        <v>0</v>
      </c>
    </row>
    <row r="10" spans="1:18" x14ac:dyDescent="0.3">
      <c r="A10">
        <v>15</v>
      </c>
      <c r="B10" t="s">
        <v>31</v>
      </c>
      <c r="C10" t="s">
        <v>24</v>
      </c>
      <c r="D10">
        <v>58</v>
      </c>
      <c r="E10">
        <v>0.48472599999999999</v>
      </c>
      <c r="F10" s="2">
        <v>44572.428749999999</v>
      </c>
      <c r="G10" s="3">
        <f t="shared" si="0"/>
        <v>44572</v>
      </c>
      <c r="H10">
        <f>COUNTIF(Sessions!$B:$B,A10)</f>
        <v>1</v>
      </c>
      <c r="I10" s="5">
        <f>SUMIFS(Purchases!$E:$E,Purchases!$F:$F,A10)</f>
        <v>0</v>
      </c>
      <c r="J10">
        <f t="shared" si="1"/>
        <v>0</v>
      </c>
      <c r="K10">
        <f>IF(COUNTIFS(Sessions!$B:$B,A10,Sessions!$E:$E,G10+1)&gt;0,1,0)</f>
        <v>0</v>
      </c>
      <c r="L10">
        <f>IF(COUNTIFS(Sessions!$B:$B,A10,Sessions!$E:$E,G10+3)&gt;0,1,0)</f>
        <v>0</v>
      </c>
      <c r="M10">
        <f>IF(COUNTIFS(Sessions!$B:$B,A10,Sessions!$E:$E,G10+7)&gt;0,1,0)</f>
        <v>0</v>
      </c>
      <c r="N10" t="str">
        <f t="shared" si="2"/>
        <v>A (&lt;0.5)</v>
      </c>
      <c r="O10" t="str">
        <f t="shared" si="3"/>
        <v>45-64</v>
      </c>
      <c r="P10" t="str">
        <f t="shared" si="4"/>
        <v>Jan-May</v>
      </c>
      <c r="Q10" s="10">
        <f>IF(COUNTIFS(Sessions!$B:$B,A10,Sessions!$E:$E,G10+$R$2)&gt;0,1,0)</f>
        <v>0</v>
      </c>
    </row>
    <row r="11" spans="1:18" x14ac:dyDescent="0.3">
      <c r="A11">
        <v>16</v>
      </c>
      <c r="B11" t="s">
        <v>32</v>
      </c>
      <c r="C11" t="s">
        <v>24</v>
      </c>
      <c r="D11">
        <v>45</v>
      </c>
      <c r="E11">
        <v>0.51743700000000004</v>
      </c>
      <c r="F11" s="2">
        <v>44886.011412037034</v>
      </c>
      <c r="G11" s="3">
        <f t="shared" si="0"/>
        <v>44886</v>
      </c>
      <c r="H11">
        <f>COUNTIF(Sessions!$B:$B,A11)</f>
        <v>7</v>
      </c>
      <c r="I11" s="5">
        <f>SUMIFS(Purchases!$E:$E,Purchases!$F:$F,A11)</f>
        <v>0</v>
      </c>
      <c r="J11">
        <f t="shared" si="1"/>
        <v>0</v>
      </c>
      <c r="K11">
        <f>IF(COUNTIFS(Sessions!$B:$B,A11,Sessions!$E:$E,G11+1)&gt;0,1,0)</f>
        <v>1</v>
      </c>
      <c r="L11">
        <f>IF(COUNTIFS(Sessions!$B:$B,A11,Sessions!$E:$E,G11+3)&gt;0,1,0)</f>
        <v>0</v>
      </c>
      <c r="M11">
        <f>IF(COUNTIFS(Sessions!$B:$B,A11,Sessions!$E:$E,G11+7)&gt;0,1,0)</f>
        <v>0</v>
      </c>
      <c r="N11" t="str">
        <f t="shared" si="2"/>
        <v>B (&gt;=0.5)</v>
      </c>
      <c r="O11" t="str">
        <f t="shared" si="3"/>
        <v>45-64</v>
      </c>
      <c r="P11" t="str">
        <f t="shared" si="4"/>
        <v>Jun-Dec</v>
      </c>
      <c r="Q11" s="10">
        <f>IF(COUNTIFS(Sessions!$B:$B,A11,Sessions!$E:$E,G11+$R$2)&gt;0,1,0)</f>
        <v>1</v>
      </c>
    </row>
    <row r="12" spans="1:18" x14ac:dyDescent="0.3">
      <c r="A12">
        <v>17</v>
      </c>
      <c r="B12" t="s">
        <v>33</v>
      </c>
      <c r="C12" t="s">
        <v>28</v>
      </c>
      <c r="D12">
        <v>70</v>
      </c>
      <c r="E12">
        <v>0.13974400000000001</v>
      </c>
      <c r="F12" s="2">
        <v>44629.855208333334</v>
      </c>
      <c r="G12" s="3">
        <f t="shared" si="0"/>
        <v>44629</v>
      </c>
      <c r="H12">
        <f>COUNTIF(Sessions!$B:$B,A12)</f>
        <v>1</v>
      </c>
      <c r="I12" s="5">
        <f>SUMIFS(Purchases!$E:$E,Purchases!$F:$F,A12)</f>
        <v>0</v>
      </c>
      <c r="J12">
        <f t="shared" si="1"/>
        <v>0</v>
      </c>
      <c r="K12">
        <f>IF(COUNTIFS(Sessions!$B:$B,A12,Sessions!$E:$E,G12+1)&gt;0,1,0)</f>
        <v>0</v>
      </c>
      <c r="L12">
        <f>IF(COUNTIFS(Sessions!$B:$B,A12,Sessions!$E:$E,G12+3)&gt;0,1,0)</f>
        <v>0</v>
      </c>
      <c r="M12">
        <f>IF(COUNTIFS(Sessions!$B:$B,A12,Sessions!$E:$E,G12+7)&gt;0,1,0)</f>
        <v>0</v>
      </c>
      <c r="N12" t="str">
        <f t="shared" si="2"/>
        <v>A (&lt;0.5)</v>
      </c>
      <c r="O12" t="str">
        <f t="shared" si="3"/>
        <v>65+</v>
      </c>
      <c r="P12" t="str">
        <f t="shared" si="4"/>
        <v>Jan-May</v>
      </c>
      <c r="Q12" s="10">
        <f>IF(COUNTIFS(Sessions!$B:$B,A12,Sessions!$E:$E,G12+$R$2)&gt;0,1,0)</f>
        <v>0</v>
      </c>
    </row>
    <row r="13" spans="1:18" x14ac:dyDescent="0.3">
      <c r="A13">
        <v>18</v>
      </c>
      <c r="B13" t="s">
        <v>34</v>
      </c>
      <c r="C13" t="s">
        <v>26</v>
      </c>
      <c r="D13">
        <v>27</v>
      </c>
      <c r="E13">
        <v>4.7391799999999998E-2</v>
      </c>
      <c r="F13" s="2">
        <v>44741.96025462963</v>
      </c>
      <c r="G13" s="3">
        <f t="shared" si="0"/>
        <v>44741</v>
      </c>
      <c r="H13">
        <f>COUNTIF(Sessions!$B:$B,A13)</f>
        <v>4</v>
      </c>
      <c r="I13" s="5">
        <f>SUMIFS(Purchases!$E:$E,Purchases!$F:$F,A13)</f>
        <v>0</v>
      </c>
      <c r="J13">
        <f t="shared" si="1"/>
        <v>0</v>
      </c>
      <c r="K13">
        <f>IF(COUNTIFS(Sessions!$B:$B,A13,Sessions!$E:$E,G13+1)&gt;0,1,0)</f>
        <v>1</v>
      </c>
      <c r="L13">
        <f>IF(COUNTIFS(Sessions!$B:$B,A13,Sessions!$E:$E,G13+3)&gt;0,1,0)</f>
        <v>0</v>
      </c>
      <c r="M13">
        <f>IF(COUNTIFS(Sessions!$B:$B,A13,Sessions!$E:$E,G13+7)&gt;0,1,0)</f>
        <v>0</v>
      </c>
      <c r="N13" t="str">
        <f t="shared" si="2"/>
        <v>A (&lt;0.5)</v>
      </c>
      <c r="O13" t="str">
        <f t="shared" si="3"/>
        <v>25-44</v>
      </c>
      <c r="P13" t="str">
        <f t="shared" si="4"/>
        <v>Jun-Dec</v>
      </c>
      <c r="Q13" s="10">
        <f>IF(COUNTIFS(Sessions!$B:$B,A13,Sessions!$E:$E,G13+$R$2)&gt;0,1,0)</f>
        <v>1</v>
      </c>
    </row>
    <row r="14" spans="1:18" x14ac:dyDescent="0.3">
      <c r="A14">
        <v>19</v>
      </c>
      <c r="B14" t="s">
        <v>35</v>
      </c>
      <c r="C14" t="s">
        <v>26</v>
      </c>
      <c r="D14">
        <v>37</v>
      </c>
      <c r="E14">
        <v>0.47827700000000001</v>
      </c>
      <c r="F14" s="2">
        <v>44885.847025462965</v>
      </c>
      <c r="G14" s="3">
        <f t="shared" si="0"/>
        <v>44885</v>
      </c>
      <c r="H14">
        <f>COUNTIF(Sessions!$B:$B,A14)</f>
        <v>23</v>
      </c>
      <c r="I14" s="5">
        <f>SUMIFS(Purchases!$E:$E,Purchases!$F:$F,A14)</f>
        <v>5.98</v>
      </c>
      <c r="J14">
        <f t="shared" si="1"/>
        <v>1</v>
      </c>
      <c r="K14">
        <f>IF(COUNTIFS(Sessions!$B:$B,A14,Sessions!$E:$E,G14+1)&gt;0,1,0)</f>
        <v>1</v>
      </c>
      <c r="L14">
        <f>IF(COUNTIFS(Sessions!$B:$B,A14,Sessions!$E:$E,G14+3)&gt;0,1,0)</f>
        <v>1</v>
      </c>
      <c r="M14">
        <f>IF(COUNTIFS(Sessions!$B:$B,A14,Sessions!$E:$E,G14+7)&gt;0,1,0)</f>
        <v>0</v>
      </c>
      <c r="N14" t="str">
        <f t="shared" si="2"/>
        <v>A (&lt;0.5)</v>
      </c>
      <c r="O14" t="str">
        <f t="shared" si="3"/>
        <v>25-44</v>
      </c>
      <c r="P14" t="str">
        <f t="shared" si="4"/>
        <v>Jun-Dec</v>
      </c>
      <c r="Q14" s="10">
        <f>IF(COUNTIFS(Sessions!$B:$B,A14,Sessions!$E:$E,G14+$R$2)&gt;0,1,0)</f>
        <v>1</v>
      </c>
    </row>
    <row r="15" spans="1:18" x14ac:dyDescent="0.3">
      <c r="A15">
        <v>20</v>
      </c>
      <c r="B15" t="s">
        <v>36</v>
      </c>
      <c r="C15" t="s">
        <v>24</v>
      </c>
      <c r="D15">
        <v>51</v>
      </c>
      <c r="E15">
        <v>0.42701099999999997</v>
      </c>
      <c r="F15" s="2">
        <v>44749.844629629632</v>
      </c>
      <c r="G15" s="3">
        <f t="shared" si="0"/>
        <v>44749</v>
      </c>
      <c r="H15">
        <f>COUNTIF(Sessions!$B:$B,A15)</f>
        <v>39</v>
      </c>
      <c r="I15" s="5">
        <f>SUMIFS(Purchases!$E:$E,Purchases!$F:$F,A15)</f>
        <v>2.9699999999999998</v>
      </c>
      <c r="J15">
        <f t="shared" si="1"/>
        <v>1</v>
      </c>
      <c r="K15">
        <f>IF(COUNTIFS(Sessions!$B:$B,A15,Sessions!$E:$E,G15+1)&gt;0,1,0)</f>
        <v>1</v>
      </c>
      <c r="L15">
        <f>IF(COUNTIFS(Sessions!$B:$B,A15,Sessions!$E:$E,G15+3)&gt;0,1,0)</f>
        <v>1</v>
      </c>
      <c r="M15">
        <f>IF(COUNTIFS(Sessions!$B:$B,A15,Sessions!$E:$E,G15+7)&gt;0,1,0)</f>
        <v>1</v>
      </c>
      <c r="N15" t="str">
        <f t="shared" si="2"/>
        <v>A (&lt;0.5)</v>
      </c>
      <c r="O15" t="str">
        <f t="shared" si="3"/>
        <v>45-64</v>
      </c>
      <c r="P15" t="str">
        <f t="shared" si="4"/>
        <v>Jun-Dec</v>
      </c>
      <c r="Q15" s="10">
        <f>IF(COUNTIFS(Sessions!$B:$B,A15,Sessions!$E:$E,G15+$R$2)&gt;0,1,0)</f>
        <v>1</v>
      </c>
    </row>
    <row r="16" spans="1:18" x14ac:dyDescent="0.3">
      <c r="A16">
        <v>21</v>
      </c>
      <c r="B16" t="s">
        <v>37</v>
      </c>
      <c r="C16" t="s">
        <v>28</v>
      </c>
      <c r="D16">
        <v>87</v>
      </c>
      <c r="E16">
        <v>5.30061E-2</v>
      </c>
      <c r="F16" s="2">
        <v>44751.271099537036</v>
      </c>
      <c r="G16" s="3">
        <f t="shared" si="0"/>
        <v>44751</v>
      </c>
      <c r="H16">
        <f>COUNTIF(Sessions!$B:$B,A16)</f>
        <v>27</v>
      </c>
      <c r="I16" s="5">
        <f>SUMIFS(Purchases!$E:$E,Purchases!$F:$F,A16)</f>
        <v>0</v>
      </c>
      <c r="J16">
        <f t="shared" si="1"/>
        <v>0</v>
      </c>
      <c r="K16">
        <f>IF(COUNTIFS(Sessions!$B:$B,A16,Sessions!$E:$E,G16+1)&gt;0,1,0)</f>
        <v>1</v>
      </c>
      <c r="L16">
        <f>IF(COUNTIFS(Sessions!$B:$B,A16,Sessions!$E:$E,G16+3)&gt;0,1,0)</f>
        <v>1</v>
      </c>
      <c r="M16">
        <f>IF(COUNTIFS(Sessions!$B:$B,A16,Sessions!$E:$E,G16+7)&gt;0,1,0)</f>
        <v>0</v>
      </c>
      <c r="N16" t="str">
        <f t="shared" si="2"/>
        <v>A (&lt;0.5)</v>
      </c>
      <c r="O16" t="str">
        <f t="shared" si="3"/>
        <v>65+</v>
      </c>
      <c r="P16" t="str">
        <f t="shared" si="4"/>
        <v>Jun-Dec</v>
      </c>
      <c r="Q16" s="10">
        <f>IF(COUNTIFS(Sessions!$B:$B,A16,Sessions!$E:$E,G16+$R$2)&gt;0,1,0)</f>
        <v>1</v>
      </c>
    </row>
    <row r="17" spans="1:17" x14ac:dyDescent="0.3">
      <c r="A17">
        <v>22</v>
      </c>
      <c r="B17" t="s">
        <v>38</v>
      </c>
      <c r="C17" t="s">
        <v>22</v>
      </c>
      <c r="D17">
        <v>21</v>
      </c>
      <c r="E17">
        <v>0.38595099999999999</v>
      </c>
      <c r="F17" s="2">
        <v>44693.362384259257</v>
      </c>
      <c r="G17" s="3">
        <f t="shared" si="0"/>
        <v>44693</v>
      </c>
      <c r="H17">
        <f>COUNTIF(Sessions!$B:$B,A17)</f>
        <v>3</v>
      </c>
      <c r="I17" s="5">
        <f>SUMIFS(Purchases!$E:$E,Purchases!$F:$F,A17)</f>
        <v>0</v>
      </c>
      <c r="J17">
        <f t="shared" si="1"/>
        <v>0</v>
      </c>
      <c r="K17">
        <f>IF(COUNTIFS(Sessions!$B:$B,A17,Sessions!$E:$E,G17+1)&gt;0,1,0)</f>
        <v>0</v>
      </c>
      <c r="L17">
        <f>IF(COUNTIFS(Sessions!$B:$B,A17,Sessions!$E:$E,G17+3)&gt;0,1,0)</f>
        <v>0</v>
      </c>
      <c r="M17">
        <f>IF(COUNTIFS(Sessions!$B:$B,A17,Sessions!$E:$E,G17+7)&gt;0,1,0)</f>
        <v>0</v>
      </c>
      <c r="N17" t="str">
        <f t="shared" si="2"/>
        <v>A (&lt;0.5)</v>
      </c>
      <c r="O17" t="str">
        <f t="shared" si="3"/>
        <v>12-24</v>
      </c>
      <c r="P17" t="str">
        <f t="shared" si="4"/>
        <v>Jan-May</v>
      </c>
      <c r="Q17" s="10">
        <f>IF(COUNTIFS(Sessions!$B:$B,A17,Sessions!$E:$E,G17+$R$2)&gt;0,1,0)</f>
        <v>0</v>
      </c>
    </row>
    <row r="18" spans="1:17" x14ac:dyDescent="0.3">
      <c r="A18">
        <v>23</v>
      </c>
      <c r="B18" t="s">
        <v>39</v>
      </c>
      <c r="C18" t="s">
        <v>26</v>
      </c>
      <c r="D18">
        <v>58</v>
      </c>
      <c r="E18">
        <v>0.88683699999999999</v>
      </c>
      <c r="F18" s="2">
        <v>44574.84511574074</v>
      </c>
      <c r="G18" s="3">
        <f t="shared" si="0"/>
        <v>44574</v>
      </c>
      <c r="H18">
        <f>COUNTIF(Sessions!$B:$B,A18)</f>
        <v>6</v>
      </c>
      <c r="I18" s="5">
        <f>SUMIFS(Purchases!$E:$E,Purchases!$F:$F,A18)</f>
        <v>0</v>
      </c>
      <c r="J18">
        <f t="shared" si="1"/>
        <v>0</v>
      </c>
      <c r="K18">
        <f>IF(COUNTIFS(Sessions!$B:$B,A18,Sessions!$E:$E,G18+1)&gt;0,1,0)</f>
        <v>1</v>
      </c>
      <c r="L18">
        <f>IF(COUNTIFS(Sessions!$B:$B,A18,Sessions!$E:$E,G18+3)&gt;0,1,0)</f>
        <v>0</v>
      </c>
      <c r="M18">
        <f>IF(COUNTIFS(Sessions!$B:$B,A18,Sessions!$E:$E,G18+7)&gt;0,1,0)</f>
        <v>0</v>
      </c>
      <c r="N18" t="str">
        <f t="shared" si="2"/>
        <v>B (&gt;=0.5)</v>
      </c>
      <c r="O18" t="str">
        <f t="shared" si="3"/>
        <v>45-64</v>
      </c>
      <c r="P18" t="str">
        <f t="shared" si="4"/>
        <v>Jan-May</v>
      </c>
      <c r="Q18" s="10">
        <f>IF(COUNTIFS(Sessions!$B:$B,A18,Sessions!$E:$E,G18+$R$2)&gt;0,1,0)</f>
        <v>1</v>
      </c>
    </row>
    <row r="19" spans="1:17" x14ac:dyDescent="0.3">
      <c r="A19">
        <v>24</v>
      </c>
      <c r="B19" t="s">
        <v>40</v>
      </c>
      <c r="C19" t="s">
        <v>41</v>
      </c>
      <c r="D19">
        <v>20</v>
      </c>
      <c r="E19">
        <v>0.38430300000000001</v>
      </c>
      <c r="F19" s="2">
        <v>44687.188692129632</v>
      </c>
      <c r="G19" s="3">
        <f t="shared" si="0"/>
        <v>44687</v>
      </c>
      <c r="H19">
        <f>COUNTIF(Sessions!$B:$B,A19)</f>
        <v>2</v>
      </c>
      <c r="I19" s="5">
        <f>SUMIFS(Purchases!$E:$E,Purchases!$F:$F,A19)</f>
        <v>0.99</v>
      </c>
      <c r="J19">
        <f t="shared" si="1"/>
        <v>1</v>
      </c>
      <c r="K19">
        <f>IF(COUNTIFS(Sessions!$B:$B,A19,Sessions!$E:$E,G19+1)&gt;0,1,0)</f>
        <v>0</v>
      </c>
      <c r="L19">
        <f>IF(COUNTIFS(Sessions!$B:$B,A19,Sessions!$E:$E,G19+3)&gt;0,1,0)</f>
        <v>0</v>
      </c>
      <c r="M19">
        <f>IF(COUNTIFS(Sessions!$B:$B,A19,Sessions!$E:$E,G19+7)&gt;0,1,0)</f>
        <v>0</v>
      </c>
      <c r="N19" t="str">
        <f t="shared" si="2"/>
        <v>A (&lt;0.5)</v>
      </c>
      <c r="O19" t="str">
        <f t="shared" si="3"/>
        <v>12-24</v>
      </c>
      <c r="P19" t="str">
        <f t="shared" si="4"/>
        <v>Jan-May</v>
      </c>
      <c r="Q19" s="10">
        <f>IF(COUNTIFS(Sessions!$B:$B,A19,Sessions!$E:$E,G19+$R$2)&gt;0,1,0)</f>
        <v>0</v>
      </c>
    </row>
    <row r="20" spans="1:17" x14ac:dyDescent="0.3">
      <c r="A20">
        <v>25</v>
      </c>
      <c r="B20" t="s">
        <v>42</v>
      </c>
      <c r="C20" t="s">
        <v>22</v>
      </c>
      <c r="D20">
        <v>95</v>
      </c>
      <c r="E20">
        <v>3.3561599999999997E-2</v>
      </c>
      <c r="F20" s="2">
        <v>44681.842314814814</v>
      </c>
      <c r="G20" s="3">
        <f t="shared" si="0"/>
        <v>44681</v>
      </c>
      <c r="H20">
        <f>COUNTIF(Sessions!$B:$B,A20)</f>
        <v>2</v>
      </c>
      <c r="I20" s="5">
        <f>SUMIFS(Purchases!$E:$E,Purchases!$F:$F,A20)</f>
        <v>0</v>
      </c>
      <c r="J20">
        <f t="shared" si="1"/>
        <v>0</v>
      </c>
      <c r="K20">
        <f>IF(COUNTIFS(Sessions!$B:$B,A20,Sessions!$E:$E,G20+1)&gt;0,1,0)</f>
        <v>1</v>
      </c>
      <c r="L20">
        <f>IF(COUNTIFS(Sessions!$B:$B,A20,Sessions!$E:$E,G20+3)&gt;0,1,0)</f>
        <v>0</v>
      </c>
      <c r="M20">
        <f>IF(COUNTIFS(Sessions!$B:$B,A20,Sessions!$E:$E,G20+7)&gt;0,1,0)</f>
        <v>0</v>
      </c>
      <c r="N20" t="str">
        <f t="shared" si="2"/>
        <v>A (&lt;0.5)</v>
      </c>
      <c r="O20" t="str">
        <f t="shared" si="3"/>
        <v>65+</v>
      </c>
      <c r="P20" t="str">
        <f t="shared" si="4"/>
        <v>Jan-May</v>
      </c>
      <c r="Q20" s="10">
        <f>IF(COUNTIFS(Sessions!$B:$B,A20,Sessions!$E:$E,G20+$R$2)&gt;0,1,0)</f>
        <v>1</v>
      </c>
    </row>
    <row r="21" spans="1:17" x14ac:dyDescent="0.3">
      <c r="A21">
        <v>26</v>
      </c>
      <c r="B21" t="s">
        <v>43</v>
      </c>
      <c r="C21" t="s">
        <v>26</v>
      </c>
      <c r="D21">
        <v>23</v>
      </c>
      <c r="E21">
        <v>0.48850500000000002</v>
      </c>
      <c r="F21" s="2">
        <v>44804.586099537039</v>
      </c>
      <c r="G21" s="3">
        <f t="shared" si="0"/>
        <v>44804</v>
      </c>
      <c r="H21">
        <f>COUNTIF(Sessions!$B:$B,A21)</f>
        <v>12</v>
      </c>
      <c r="I21" s="5">
        <f>SUMIFS(Purchases!$E:$E,Purchases!$F:$F,A21)</f>
        <v>0.99</v>
      </c>
      <c r="J21">
        <f t="shared" si="1"/>
        <v>1</v>
      </c>
      <c r="K21">
        <f>IF(COUNTIFS(Sessions!$B:$B,A21,Sessions!$E:$E,G21+1)&gt;0,1,0)</f>
        <v>1</v>
      </c>
      <c r="L21">
        <f>IF(COUNTIFS(Sessions!$B:$B,A21,Sessions!$E:$E,G21+3)&gt;0,1,0)</f>
        <v>0</v>
      </c>
      <c r="M21">
        <f>IF(COUNTIFS(Sessions!$B:$B,A21,Sessions!$E:$E,G21+7)&gt;0,1,0)</f>
        <v>0</v>
      </c>
      <c r="N21" t="str">
        <f t="shared" si="2"/>
        <v>A (&lt;0.5)</v>
      </c>
      <c r="O21" t="str">
        <f t="shared" si="3"/>
        <v>12-24</v>
      </c>
      <c r="P21" t="str">
        <f t="shared" si="4"/>
        <v>Jun-Dec</v>
      </c>
      <c r="Q21" s="10">
        <f>IF(COUNTIFS(Sessions!$B:$B,A21,Sessions!$E:$E,G21+$R$2)&gt;0,1,0)</f>
        <v>1</v>
      </c>
    </row>
    <row r="22" spans="1:17" x14ac:dyDescent="0.3">
      <c r="A22">
        <v>27</v>
      </c>
      <c r="B22" t="s">
        <v>44</v>
      </c>
      <c r="C22" t="s">
        <v>19</v>
      </c>
      <c r="D22">
        <v>45</v>
      </c>
      <c r="E22">
        <v>0.114219</v>
      </c>
      <c r="F22" s="2">
        <v>44804.323773148149</v>
      </c>
      <c r="G22" s="3">
        <f t="shared" si="0"/>
        <v>44804</v>
      </c>
      <c r="H22">
        <f>COUNTIF(Sessions!$B:$B,A22)</f>
        <v>13</v>
      </c>
      <c r="I22" s="5">
        <f>SUMIFS(Purchases!$E:$E,Purchases!$F:$F,A22)</f>
        <v>3.9800000000000004</v>
      </c>
      <c r="J22">
        <f t="shared" si="1"/>
        <v>1</v>
      </c>
      <c r="K22">
        <f>IF(COUNTIFS(Sessions!$B:$B,A22,Sessions!$E:$E,G22+1)&gt;0,1,0)</f>
        <v>1</v>
      </c>
      <c r="L22">
        <f>IF(COUNTIFS(Sessions!$B:$B,A22,Sessions!$E:$E,G22+3)&gt;0,1,0)</f>
        <v>0</v>
      </c>
      <c r="M22">
        <f>IF(COUNTIFS(Sessions!$B:$B,A22,Sessions!$E:$E,G22+7)&gt;0,1,0)</f>
        <v>0</v>
      </c>
      <c r="N22" t="str">
        <f t="shared" si="2"/>
        <v>A (&lt;0.5)</v>
      </c>
      <c r="O22" t="str">
        <f t="shared" si="3"/>
        <v>45-64</v>
      </c>
      <c r="P22" t="str">
        <f t="shared" si="4"/>
        <v>Jun-Dec</v>
      </c>
      <c r="Q22" s="10">
        <f>IF(COUNTIFS(Sessions!$B:$B,A22,Sessions!$E:$E,G22+$R$2)&gt;0,1,0)</f>
        <v>1</v>
      </c>
    </row>
    <row r="23" spans="1:17" x14ac:dyDescent="0.3">
      <c r="A23">
        <v>28</v>
      </c>
      <c r="B23" t="s">
        <v>45</v>
      </c>
      <c r="C23" t="s">
        <v>22</v>
      </c>
      <c r="D23">
        <v>48</v>
      </c>
      <c r="E23">
        <v>5.3926099999999998E-2</v>
      </c>
      <c r="F23" s="2">
        <v>44613.932534722226</v>
      </c>
      <c r="G23" s="3">
        <f t="shared" si="0"/>
        <v>44613</v>
      </c>
      <c r="H23">
        <f>COUNTIF(Sessions!$B:$B,A23)</f>
        <v>1</v>
      </c>
      <c r="I23" s="5">
        <f>SUMIFS(Purchases!$E:$E,Purchases!$F:$F,A23)</f>
        <v>0</v>
      </c>
      <c r="J23">
        <f t="shared" si="1"/>
        <v>0</v>
      </c>
      <c r="K23">
        <f>IF(COUNTIFS(Sessions!$B:$B,A23,Sessions!$E:$E,G23+1)&gt;0,1,0)</f>
        <v>0</v>
      </c>
      <c r="L23">
        <f>IF(COUNTIFS(Sessions!$B:$B,A23,Sessions!$E:$E,G23+3)&gt;0,1,0)</f>
        <v>0</v>
      </c>
      <c r="M23">
        <f>IF(COUNTIFS(Sessions!$B:$B,A23,Sessions!$E:$E,G23+7)&gt;0,1,0)</f>
        <v>0</v>
      </c>
      <c r="N23" t="str">
        <f t="shared" si="2"/>
        <v>A (&lt;0.5)</v>
      </c>
      <c r="O23" t="str">
        <f t="shared" si="3"/>
        <v>45-64</v>
      </c>
      <c r="P23" t="str">
        <f t="shared" si="4"/>
        <v>Jan-May</v>
      </c>
      <c r="Q23" s="10">
        <f>IF(COUNTIFS(Sessions!$B:$B,A23,Sessions!$E:$E,G23+$R$2)&gt;0,1,0)</f>
        <v>0</v>
      </c>
    </row>
    <row r="24" spans="1:17" x14ac:dyDescent="0.3">
      <c r="A24">
        <v>29</v>
      </c>
      <c r="B24" t="s">
        <v>46</v>
      </c>
      <c r="C24" t="s">
        <v>28</v>
      </c>
      <c r="D24">
        <v>74</v>
      </c>
      <c r="E24">
        <v>0.33402999999999999</v>
      </c>
      <c r="F24" s="2">
        <v>44827.721932870372</v>
      </c>
      <c r="G24" s="3">
        <f t="shared" si="0"/>
        <v>44827</v>
      </c>
      <c r="H24">
        <f>COUNTIF(Sessions!$B:$B,A24)</f>
        <v>19</v>
      </c>
      <c r="I24" s="5">
        <f>SUMIFS(Purchases!$E:$E,Purchases!$F:$F,A24)</f>
        <v>7.98</v>
      </c>
      <c r="J24">
        <f t="shared" si="1"/>
        <v>1</v>
      </c>
      <c r="K24">
        <f>IF(COUNTIFS(Sessions!$B:$B,A24,Sessions!$E:$E,G24+1)&gt;0,1,0)</f>
        <v>1</v>
      </c>
      <c r="L24">
        <f>IF(COUNTIFS(Sessions!$B:$B,A24,Sessions!$E:$E,G24+3)&gt;0,1,0)</f>
        <v>1</v>
      </c>
      <c r="M24">
        <f>IF(COUNTIFS(Sessions!$B:$B,A24,Sessions!$E:$E,G24+7)&gt;0,1,0)</f>
        <v>0</v>
      </c>
      <c r="N24" t="str">
        <f t="shared" si="2"/>
        <v>A (&lt;0.5)</v>
      </c>
      <c r="O24" t="str">
        <f t="shared" si="3"/>
        <v>65+</v>
      </c>
      <c r="P24" t="str">
        <f t="shared" si="4"/>
        <v>Jun-Dec</v>
      </c>
      <c r="Q24" s="10">
        <f>IF(COUNTIFS(Sessions!$B:$B,A24,Sessions!$E:$E,G24+$R$2)&gt;0,1,0)</f>
        <v>1</v>
      </c>
    </row>
    <row r="25" spans="1:17" x14ac:dyDescent="0.3">
      <c r="A25">
        <v>30</v>
      </c>
      <c r="B25" t="s">
        <v>47</v>
      </c>
      <c r="C25" t="s">
        <v>26</v>
      </c>
      <c r="D25">
        <v>83</v>
      </c>
      <c r="E25">
        <v>0.40127400000000002</v>
      </c>
      <c r="F25" s="2">
        <v>44622.839618055557</v>
      </c>
      <c r="G25" s="3">
        <f t="shared" si="0"/>
        <v>44622</v>
      </c>
      <c r="H25">
        <f>COUNTIF(Sessions!$B:$B,A25)</f>
        <v>3</v>
      </c>
      <c r="I25" s="5">
        <f>SUMIFS(Purchases!$E:$E,Purchases!$F:$F,A25)</f>
        <v>4.99</v>
      </c>
      <c r="J25">
        <f t="shared" si="1"/>
        <v>1</v>
      </c>
      <c r="K25">
        <f>IF(COUNTIFS(Sessions!$B:$B,A25,Sessions!$E:$E,G25+1)&gt;0,1,0)</f>
        <v>1</v>
      </c>
      <c r="L25">
        <f>IF(COUNTIFS(Sessions!$B:$B,A25,Sessions!$E:$E,G25+3)&gt;0,1,0)</f>
        <v>0</v>
      </c>
      <c r="M25">
        <f>IF(COUNTIFS(Sessions!$B:$B,A25,Sessions!$E:$E,G25+7)&gt;0,1,0)</f>
        <v>0</v>
      </c>
      <c r="N25" t="str">
        <f t="shared" si="2"/>
        <v>A (&lt;0.5)</v>
      </c>
      <c r="O25" t="str">
        <f t="shared" si="3"/>
        <v>65+</v>
      </c>
      <c r="P25" t="str">
        <f t="shared" si="4"/>
        <v>Jan-May</v>
      </c>
      <c r="Q25" s="10">
        <f>IF(COUNTIFS(Sessions!$B:$B,A25,Sessions!$E:$E,G25+$R$2)&gt;0,1,0)</f>
        <v>1</v>
      </c>
    </row>
    <row r="26" spans="1:17" x14ac:dyDescent="0.3">
      <c r="A26">
        <v>31</v>
      </c>
      <c r="B26" t="s">
        <v>48</v>
      </c>
      <c r="C26" t="s">
        <v>19</v>
      </c>
      <c r="D26">
        <v>29</v>
      </c>
      <c r="E26">
        <v>0.15454799999999999</v>
      </c>
      <c r="F26" s="2">
        <v>44758.001238425924</v>
      </c>
      <c r="G26" s="3">
        <f t="shared" si="0"/>
        <v>44758</v>
      </c>
      <c r="H26">
        <f>COUNTIF(Sessions!$B:$B,A26)</f>
        <v>17</v>
      </c>
      <c r="I26" s="5">
        <f>SUMIFS(Purchases!$E:$E,Purchases!$F:$F,A26)</f>
        <v>0</v>
      </c>
      <c r="J26">
        <f t="shared" si="1"/>
        <v>0</v>
      </c>
      <c r="K26">
        <f>IF(COUNTIFS(Sessions!$B:$B,A26,Sessions!$E:$E,G26+1)&gt;0,1,0)</f>
        <v>1</v>
      </c>
      <c r="L26">
        <f>IF(COUNTIFS(Sessions!$B:$B,A26,Sessions!$E:$E,G26+3)&gt;0,1,0)</f>
        <v>1</v>
      </c>
      <c r="M26">
        <f>IF(COUNTIFS(Sessions!$B:$B,A26,Sessions!$E:$E,G26+7)&gt;0,1,0)</f>
        <v>0</v>
      </c>
      <c r="N26" t="str">
        <f t="shared" si="2"/>
        <v>A (&lt;0.5)</v>
      </c>
      <c r="O26" t="str">
        <f t="shared" si="3"/>
        <v>25-44</v>
      </c>
      <c r="P26" t="str">
        <f t="shared" si="4"/>
        <v>Jun-Dec</v>
      </c>
      <c r="Q26" s="10">
        <f>IF(COUNTIFS(Sessions!$B:$B,A26,Sessions!$E:$E,G26+$R$2)&gt;0,1,0)</f>
        <v>1</v>
      </c>
    </row>
    <row r="27" spans="1:17" x14ac:dyDescent="0.3">
      <c r="A27">
        <v>32</v>
      </c>
      <c r="B27" t="s">
        <v>49</v>
      </c>
      <c r="C27" t="s">
        <v>28</v>
      </c>
      <c r="D27">
        <v>22</v>
      </c>
      <c r="E27">
        <v>0.162638</v>
      </c>
      <c r="F27" s="2">
        <v>44616.16878472222</v>
      </c>
      <c r="G27" s="3">
        <f t="shared" si="0"/>
        <v>44616</v>
      </c>
      <c r="H27">
        <f>COUNTIF(Sessions!$B:$B,A27)</f>
        <v>2</v>
      </c>
      <c r="I27" s="5">
        <f>SUMIFS(Purchases!$E:$E,Purchases!$F:$F,A27)</f>
        <v>0</v>
      </c>
      <c r="J27">
        <f t="shared" si="1"/>
        <v>0</v>
      </c>
      <c r="K27">
        <f>IF(COUNTIFS(Sessions!$B:$B,A27,Sessions!$E:$E,G27+1)&gt;0,1,0)</f>
        <v>0</v>
      </c>
      <c r="L27">
        <f>IF(COUNTIFS(Sessions!$B:$B,A27,Sessions!$E:$E,G27+3)&gt;0,1,0)</f>
        <v>0</v>
      </c>
      <c r="M27">
        <f>IF(COUNTIFS(Sessions!$B:$B,A27,Sessions!$E:$E,G27+7)&gt;0,1,0)</f>
        <v>0</v>
      </c>
      <c r="N27" t="str">
        <f t="shared" si="2"/>
        <v>A (&lt;0.5)</v>
      </c>
      <c r="O27" t="str">
        <f t="shared" si="3"/>
        <v>12-24</v>
      </c>
      <c r="P27" t="str">
        <f t="shared" si="4"/>
        <v>Jan-May</v>
      </c>
      <c r="Q27" s="10">
        <f>IF(COUNTIFS(Sessions!$B:$B,A27,Sessions!$E:$E,G27+$R$2)&gt;0,1,0)</f>
        <v>0</v>
      </c>
    </row>
    <row r="28" spans="1:17" x14ac:dyDescent="0.3">
      <c r="A28">
        <v>33</v>
      </c>
      <c r="B28" t="s">
        <v>50</v>
      </c>
      <c r="C28" t="s">
        <v>41</v>
      </c>
      <c r="D28">
        <v>66</v>
      </c>
      <c r="E28">
        <v>6.2571799999999997E-2</v>
      </c>
      <c r="F28" s="2">
        <v>44592.584444444445</v>
      </c>
      <c r="G28" s="3">
        <f t="shared" si="0"/>
        <v>44592</v>
      </c>
      <c r="H28">
        <f>COUNTIF(Sessions!$B:$B,A28)</f>
        <v>4</v>
      </c>
      <c r="I28" s="5">
        <f>SUMIFS(Purchases!$E:$E,Purchases!$F:$F,A28)</f>
        <v>0</v>
      </c>
      <c r="J28">
        <f t="shared" si="1"/>
        <v>0</v>
      </c>
      <c r="K28">
        <f>IF(COUNTIFS(Sessions!$B:$B,A28,Sessions!$E:$E,G28+1)&gt;0,1,0)</f>
        <v>1</v>
      </c>
      <c r="L28">
        <f>IF(COUNTIFS(Sessions!$B:$B,A28,Sessions!$E:$E,G28+3)&gt;0,1,0)</f>
        <v>0</v>
      </c>
      <c r="M28">
        <f>IF(COUNTIFS(Sessions!$B:$B,A28,Sessions!$E:$E,G28+7)&gt;0,1,0)</f>
        <v>0</v>
      </c>
      <c r="N28" t="str">
        <f t="shared" si="2"/>
        <v>A (&lt;0.5)</v>
      </c>
      <c r="O28" t="str">
        <f t="shared" si="3"/>
        <v>65+</v>
      </c>
      <c r="P28" t="str">
        <f t="shared" si="4"/>
        <v>Jan-May</v>
      </c>
      <c r="Q28" s="10">
        <f>IF(COUNTIFS(Sessions!$B:$B,A28,Sessions!$E:$E,G28+$R$2)&gt;0,1,0)</f>
        <v>1</v>
      </c>
    </row>
    <row r="29" spans="1:17" x14ac:dyDescent="0.3">
      <c r="A29">
        <v>34</v>
      </c>
      <c r="B29" t="s">
        <v>51</v>
      </c>
      <c r="C29" t="s">
        <v>24</v>
      </c>
      <c r="D29">
        <v>21</v>
      </c>
      <c r="E29">
        <v>0.36039399999999999</v>
      </c>
      <c r="F29" s="2">
        <v>44635.885231481479</v>
      </c>
      <c r="G29" s="3">
        <f t="shared" si="0"/>
        <v>44635</v>
      </c>
      <c r="H29">
        <f>COUNTIF(Sessions!$B:$B,A29)</f>
        <v>1</v>
      </c>
      <c r="I29" s="5">
        <f>SUMIFS(Purchases!$E:$E,Purchases!$F:$F,A29)</f>
        <v>0</v>
      </c>
      <c r="J29">
        <f t="shared" si="1"/>
        <v>0</v>
      </c>
      <c r="K29">
        <f>IF(COUNTIFS(Sessions!$B:$B,A29,Sessions!$E:$E,G29+1)&gt;0,1,0)</f>
        <v>0</v>
      </c>
      <c r="L29">
        <f>IF(COUNTIFS(Sessions!$B:$B,A29,Sessions!$E:$E,G29+3)&gt;0,1,0)</f>
        <v>0</v>
      </c>
      <c r="M29">
        <f>IF(COUNTIFS(Sessions!$B:$B,A29,Sessions!$E:$E,G29+7)&gt;0,1,0)</f>
        <v>0</v>
      </c>
      <c r="N29" t="str">
        <f t="shared" si="2"/>
        <v>A (&lt;0.5)</v>
      </c>
      <c r="O29" t="str">
        <f t="shared" si="3"/>
        <v>12-24</v>
      </c>
      <c r="P29" t="str">
        <f t="shared" si="4"/>
        <v>Jan-May</v>
      </c>
      <c r="Q29" s="10">
        <f>IF(COUNTIFS(Sessions!$B:$B,A29,Sessions!$E:$E,G29+$R$2)&gt;0,1,0)</f>
        <v>0</v>
      </c>
    </row>
    <row r="30" spans="1:17" x14ac:dyDescent="0.3">
      <c r="A30">
        <v>35</v>
      </c>
      <c r="B30" t="s">
        <v>52</v>
      </c>
      <c r="C30" t="s">
        <v>24</v>
      </c>
      <c r="D30">
        <v>54</v>
      </c>
      <c r="E30">
        <v>0.58152499999999996</v>
      </c>
      <c r="F30" s="2">
        <v>44721.187789351854</v>
      </c>
      <c r="G30" s="3">
        <f t="shared" si="0"/>
        <v>44721</v>
      </c>
      <c r="H30">
        <f>COUNTIF(Sessions!$B:$B,A30)</f>
        <v>5</v>
      </c>
      <c r="I30" s="5">
        <f>SUMIFS(Purchases!$E:$E,Purchases!$F:$F,A30)</f>
        <v>0.99</v>
      </c>
      <c r="J30">
        <f t="shared" si="1"/>
        <v>1</v>
      </c>
      <c r="K30">
        <f>IF(COUNTIFS(Sessions!$B:$B,A30,Sessions!$E:$E,G30+1)&gt;0,1,0)</f>
        <v>1</v>
      </c>
      <c r="L30">
        <f>IF(COUNTIFS(Sessions!$B:$B,A30,Sessions!$E:$E,G30+3)&gt;0,1,0)</f>
        <v>0</v>
      </c>
      <c r="M30">
        <f>IF(COUNTIFS(Sessions!$B:$B,A30,Sessions!$E:$E,G30+7)&gt;0,1,0)</f>
        <v>0</v>
      </c>
      <c r="N30" t="str">
        <f t="shared" si="2"/>
        <v>B (&gt;=0.5)</v>
      </c>
      <c r="O30" t="str">
        <f t="shared" si="3"/>
        <v>45-64</v>
      </c>
      <c r="P30" t="str">
        <f t="shared" si="4"/>
        <v>Jun-Dec</v>
      </c>
      <c r="Q30" s="10">
        <f>IF(COUNTIFS(Sessions!$B:$B,A30,Sessions!$E:$E,G30+$R$2)&gt;0,1,0)</f>
        <v>1</v>
      </c>
    </row>
    <row r="31" spans="1:17" x14ac:dyDescent="0.3">
      <c r="A31">
        <v>36</v>
      </c>
      <c r="B31" t="s">
        <v>53</v>
      </c>
      <c r="C31" t="s">
        <v>26</v>
      </c>
      <c r="D31">
        <v>40</v>
      </c>
      <c r="E31">
        <v>0.463976</v>
      </c>
      <c r="F31" s="2">
        <v>44885.956053240741</v>
      </c>
      <c r="G31" s="3">
        <f t="shared" si="0"/>
        <v>44885</v>
      </c>
      <c r="H31">
        <f>COUNTIF(Sessions!$B:$B,A31)</f>
        <v>35</v>
      </c>
      <c r="I31" s="5">
        <f>SUMIFS(Purchases!$E:$E,Purchases!$F:$F,A31)</f>
        <v>1.98</v>
      </c>
      <c r="J31">
        <f t="shared" si="1"/>
        <v>1</v>
      </c>
      <c r="K31">
        <f>IF(COUNTIFS(Sessions!$B:$B,A31,Sessions!$E:$E,G31+1)&gt;0,1,0)</f>
        <v>1</v>
      </c>
      <c r="L31">
        <f>IF(COUNTIFS(Sessions!$B:$B,A31,Sessions!$E:$E,G31+3)&gt;0,1,0)</f>
        <v>1</v>
      </c>
      <c r="M31">
        <f>IF(COUNTIFS(Sessions!$B:$B,A31,Sessions!$E:$E,G31+7)&gt;0,1,0)</f>
        <v>0</v>
      </c>
      <c r="N31" t="str">
        <f t="shared" si="2"/>
        <v>A (&lt;0.5)</v>
      </c>
      <c r="O31" t="str">
        <f t="shared" si="3"/>
        <v>25-44</v>
      </c>
      <c r="P31" t="str">
        <f t="shared" si="4"/>
        <v>Jun-Dec</v>
      </c>
      <c r="Q31" s="10">
        <f>IF(COUNTIFS(Sessions!$B:$B,A31,Sessions!$E:$E,G31+$R$2)&gt;0,1,0)</f>
        <v>1</v>
      </c>
    </row>
    <row r="32" spans="1:17" x14ac:dyDescent="0.3">
      <c r="A32">
        <v>37</v>
      </c>
      <c r="B32" t="s">
        <v>54</v>
      </c>
      <c r="C32" t="s">
        <v>24</v>
      </c>
      <c r="D32">
        <v>97</v>
      </c>
      <c r="E32">
        <v>0.53379500000000002</v>
      </c>
      <c r="F32" s="2">
        <v>44639.141793981478</v>
      </c>
      <c r="G32" s="3">
        <f t="shared" si="0"/>
        <v>44639</v>
      </c>
      <c r="H32">
        <f>COUNTIF(Sessions!$B:$B,A32)</f>
        <v>1</v>
      </c>
      <c r="I32" s="5">
        <f>SUMIFS(Purchases!$E:$E,Purchases!$F:$F,A32)</f>
        <v>0</v>
      </c>
      <c r="J32">
        <f t="shared" si="1"/>
        <v>0</v>
      </c>
      <c r="K32">
        <f>IF(COUNTIFS(Sessions!$B:$B,A32,Sessions!$E:$E,G32+1)&gt;0,1,0)</f>
        <v>0</v>
      </c>
      <c r="L32">
        <f>IF(COUNTIFS(Sessions!$B:$B,A32,Sessions!$E:$E,G32+3)&gt;0,1,0)</f>
        <v>0</v>
      </c>
      <c r="M32">
        <f>IF(COUNTIFS(Sessions!$B:$B,A32,Sessions!$E:$E,G32+7)&gt;0,1,0)</f>
        <v>0</v>
      </c>
      <c r="N32" t="str">
        <f t="shared" si="2"/>
        <v>B (&gt;=0.5)</v>
      </c>
      <c r="O32" t="str">
        <f t="shared" si="3"/>
        <v>65+</v>
      </c>
      <c r="P32" t="str">
        <f t="shared" si="4"/>
        <v>Jan-May</v>
      </c>
      <c r="Q32" s="10">
        <f>IF(COUNTIFS(Sessions!$B:$B,A32,Sessions!$E:$E,G32+$R$2)&gt;0,1,0)</f>
        <v>0</v>
      </c>
    </row>
    <row r="33" spans="1:17" x14ac:dyDescent="0.3">
      <c r="A33">
        <v>38</v>
      </c>
      <c r="B33" t="s">
        <v>55</v>
      </c>
      <c r="C33" t="s">
        <v>19</v>
      </c>
      <c r="D33">
        <v>20</v>
      </c>
      <c r="E33">
        <v>4.5743100000000002E-2</v>
      </c>
      <c r="F33" s="2">
        <v>44667.615833333337</v>
      </c>
      <c r="G33" s="3">
        <f t="shared" si="0"/>
        <v>44667</v>
      </c>
      <c r="H33">
        <f>COUNTIF(Sessions!$B:$B,A33)</f>
        <v>3</v>
      </c>
      <c r="I33" s="5">
        <f>SUMIFS(Purchases!$E:$E,Purchases!$F:$F,A33)</f>
        <v>0.99</v>
      </c>
      <c r="J33">
        <f t="shared" si="1"/>
        <v>1</v>
      </c>
      <c r="K33">
        <f>IF(COUNTIFS(Sessions!$B:$B,A33,Sessions!$E:$E,G33+1)&gt;0,1,0)</f>
        <v>1</v>
      </c>
      <c r="L33">
        <f>IF(COUNTIFS(Sessions!$B:$B,A33,Sessions!$E:$E,G33+3)&gt;0,1,0)</f>
        <v>0</v>
      </c>
      <c r="M33">
        <f>IF(COUNTIFS(Sessions!$B:$B,A33,Sessions!$E:$E,G33+7)&gt;0,1,0)</f>
        <v>0</v>
      </c>
      <c r="N33" t="str">
        <f t="shared" si="2"/>
        <v>A (&lt;0.5)</v>
      </c>
      <c r="O33" t="str">
        <f t="shared" si="3"/>
        <v>12-24</v>
      </c>
      <c r="P33" t="str">
        <f t="shared" si="4"/>
        <v>Jan-May</v>
      </c>
      <c r="Q33" s="10">
        <f>IF(COUNTIFS(Sessions!$B:$B,A33,Sessions!$E:$E,G33+$R$2)&gt;0,1,0)</f>
        <v>1</v>
      </c>
    </row>
    <row r="34" spans="1:17" x14ac:dyDescent="0.3">
      <c r="A34">
        <v>39</v>
      </c>
      <c r="B34" t="s">
        <v>56</v>
      </c>
      <c r="C34" t="s">
        <v>28</v>
      </c>
      <c r="D34">
        <v>12</v>
      </c>
      <c r="E34">
        <v>0.64759</v>
      </c>
      <c r="F34" s="2">
        <v>44892.985277777778</v>
      </c>
      <c r="G34" s="3">
        <f t="shared" ref="G34:G65" si="5">INT(F34)</f>
        <v>44892</v>
      </c>
      <c r="H34">
        <f>COUNTIF(Sessions!$B:$B,A34)</f>
        <v>1</v>
      </c>
      <c r="I34" s="5">
        <f>SUMIFS(Purchases!$E:$E,Purchases!$F:$F,A34)</f>
        <v>0</v>
      </c>
      <c r="J34">
        <f t="shared" ref="J34:J65" si="6">IF(I34&gt;0,1,0)</f>
        <v>0</v>
      </c>
      <c r="K34">
        <f>IF(COUNTIFS(Sessions!$B:$B,A34,Sessions!$E:$E,G34+1)&gt;0,1,0)</f>
        <v>0</v>
      </c>
      <c r="L34">
        <f>IF(COUNTIFS(Sessions!$B:$B,A34,Sessions!$E:$E,G34+3)&gt;0,1,0)</f>
        <v>0</v>
      </c>
      <c r="M34">
        <f>IF(COUNTIFS(Sessions!$B:$B,A34,Sessions!$E:$E,G34+7)&gt;0,1,0)</f>
        <v>0</v>
      </c>
      <c r="N34" t="str">
        <f t="shared" ref="N34:N65" si="7">IF(E34&lt;0.5,"A (&lt;0.5)","B (&gt;=0.5)")</f>
        <v>B (&gt;=0.5)</v>
      </c>
      <c r="O34" t="str">
        <f t="shared" ref="O34:O65" si="8">IF(D34&lt;=24,"12-24",IF(D34&lt;=44,"25-44",IF(D34&lt;=64,"45-64","65+")))</f>
        <v>12-24</v>
      </c>
      <c r="P34" t="str">
        <f t="shared" ref="P34:P65" si="9">IF(MONTH(F34)&lt;6,"Jan-May","Jun-Dec")</f>
        <v>Jun-Dec</v>
      </c>
      <c r="Q34" s="10">
        <f>IF(COUNTIFS(Sessions!$B:$B,A34,Sessions!$E:$E,G34+$R$2)&gt;0,1,0)</f>
        <v>0</v>
      </c>
    </row>
    <row r="35" spans="1:17" x14ac:dyDescent="0.3">
      <c r="A35">
        <v>40</v>
      </c>
      <c r="B35" t="s">
        <v>57</v>
      </c>
      <c r="C35" t="s">
        <v>26</v>
      </c>
      <c r="D35">
        <v>16</v>
      </c>
      <c r="E35">
        <v>0.19354199999999999</v>
      </c>
      <c r="F35" s="2">
        <v>44603.573240740741</v>
      </c>
      <c r="G35" s="3">
        <f t="shared" si="5"/>
        <v>44603</v>
      </c>
      <c r="H35">
        <f>COUNTIF(Sessions!$B:$B,A35)</f>
        <v>5</v>
      </c>
      <c r="I35" s="5">
        <f>SUMIFS(Purchases!$E:$E,Purchases!$F:$F,A35)</f>
        <v>2.99</v>
      </c>
      <c r="J35">
        <f t="shared" si="6"/>
        <v>1</v>
      </c>
      <c r="K35">
        <f>IF(COUNTIFS(Sessions!$B:$B,A35,Sessions!$E:$E,G35+1)&gt;0,1,0)</f>
        <v>1</v>
      </c>
      <c r="L35">
        <f>IF(COUNTIFS(Sessions!$B:$B,A35,Sessions!$E:$E,G35+3)&gt;0,1,0)</f>
        <v>0</v>
      </c>
      <c r="M35">
        <f>IF(COUNTIFS(Sessions!$B:$B,A35,Sessions!$E:$E,G35+7)&gt;0,1,0)</f>
        <v>0</v>
      </c>
      <c r="N35" t="str">
        <f t="shared" si="7"/>
        <v>A (&lt;0.5)</v>
      </c>
      <c r="O35" t="str">
        <f t="shared" si="8"/>
        <v>12-24</v>
      </c>
      <c r="P35" t="str">
        <f t="shared" si="9"/>
        <v>Jan-May</v>
      </c>
      <c r="Q35" s="10">
        <f>IF(COUNTIFS(Sessions!$B:$B,A35,Sessions!$E:$E,G35+$R$2)&gt;0,1,0)</f>
        <v>1</v>
      </c>
    </row>
    <row r="36" spans="1:17" x14ac:dyDescent="0.3">
      <c r="A36">
        <v>41</v>
      </c>
      <c r="B36" t="s">
        <v>58</v>
      </c>
      <c r="C36" t="s">
        <v>26</v>
      </c>
      <c r="D36">
        <v>66</v>
      </c>
      <c r="E36">
        <v>0.13389699999999999</v>
      </c>
      <c r="F36" s="2">
        <v>44678.185902777775</v>
      </c>
      <c r="G36" s="3">
        <f t="shared" si="5"/>
        <v>44678</v>
      </c>
      <c r="H36">
        <f>COUNTIF(Sessions!$B:$B,A36)</f>
        <v>3</v>
      </c>
      <c r="I36" s="5">
        <f>SUMIFS(Purchases!$E:$E,Purchases!$F:$F,A36)</f>
        <v>1.98</v>
      </c>
      <c r="J36">
        <f t="shared" si="6"/>
        <v>1</v>
      </c>
      <c r="K36">
        <f>IF(COUNTIFS(Sessions!$B:$B,A36,Sessions!$E:$E,G36+1)&gt;0,1,0)</f>
        <v>0</v>
      </c>
      <c r="L36">
        <f>IF(COUNTIFS(Sessions!$B:$B,A36,Sessions!$E:$E,G36+3)&gt;0,1,0)</f>
        <v>0</v>
      </c>
      <c r="M36">
        <f>IF(COUNTIFS(Sessions!$B:$B,A36,Sessions!$E:$E,G36+7)&gt;0,1,0)</f>
        <v>0</v>
      </c>
      <c r="N36" t="str">
        <f t="shared" si="7"/>
        <v>A (&lt;0.5)</v>
      </c>
      <c r="O36" t="str">
        <f t="shared" si="8"/>
        <v>65+</v>
      </c>
      <c r="P36" t="str">
        <f t="shared" si="9"/>
        <v>Jan-May</v>
      </c>
      <c r="Q36" s="10">
        <f>IF(COUNTIFS(Sessions!$B:$B,A36,Sessions!$E:$E,G36+$R$2)&gt;0,1,0)</f>
        <v>0</v>
      </c>
    </row>
    <row r="37" spans="1:17" x14ac:dyDescent="0.3">
      <c r="A37">
        <v>42</v>
      </c>
      <c r="B37" t="s">
        <v>59</v>
      </c>
      <c r="C37" t="s">
        <v>28</v>
      </c>
      <c r="D37">
        <v>62</v>
      </c>
      <c r="E37">
        <v>0.37992700000000001</v>
      </c>
      <c r="F37" s="2">
        <v>44645.813136574077</v>
      </c>
      <c r="G37" s="3">
        <f t="shared" si="5"/>
        <v>44645</v>
      </c>
      <c r="H37">
        <f>COUNTIF(Sessions!$B:$B,A37)</f>
        <v>4</v>
      </c>
      <c r="I37" s="5">
        <f>SUMIFS(Purchases!$E:$E,Purchases!$F:$F,A37)</f>
        <v>0</v>
      </c>
      <c r="J37">
        <f t="shared" si="6"/>
        <v>0</v>
      </c>
      <c r="K37">
        <f>IF(COUNTIFS(Sessions!$B:$B,A37,Sessions!$E:$E,G37+1)&gt;0,1,0)</f>
        <v>1</v>
      </c>
      <c r="L37">
        <f>IF(COUNTIFS(Sessions!$B:$B,A37,Sessions!$E:$E,G37+3)&gt;0,1,0)</f>
        <v>0</v>
      </c>
      <c r="M37">
        <f>IF(COUNTIFS(Sessions!$B:$B,A37,Sessions!$E:$E,G37+7)&gt;0,1,0)</f>
        <v>0</v>
      </c>
      <c r="N37" t="str">
        <f t="shared" si="7"/>
        <v>A (&lt;0.5)</v>
      </c>
      <c r="O37" t="str">
        <f t="shared" si="8"/>
        <v>45-64</v>
      </c>
      <c r="P37" t="str">
        <f t="shared" si="9"/>
        <v>Jan-May</v>
      </c>
      <c r="Q37" s="10">
        <f>IF(COUNTIFS(Sessions!$B:$B,A37,Sessions!$E:$E,G37+$R$2)&gt;0,1,0)</f>
        <v>1</v>
      </c>
    </row>
    <row r="38" spans="1:17" x14ac:dyDescent="0.3">
      <c r="A38">
        <v>43</v>
      </c>
      <c r="B38" t="s">
        <v>60</v>
      </c>
      <c r="C38" t="s">
        <v>19</v>
      </c>
      <c r="D38">
        <v>37</v>
      </c>
      <c r="E38">
        <v>0.61220300000000005</v>
      </c>
      <c r="F38" s="2">
        <v>44850.507048611114</v>
      </c>
      <c r="G38" s="3">
        <f t="shared" si="5"/>
        <v>44850</v>
      </c>
      <c r="H38">
        <f>COUNTIF(Sessions!$B:$B,A38)</f>
        <v>65</v>
      </c>
      <c r="I38" s="5">
        <f>SUMIFS(Purchases!$E:$E,Purchases!$F:$F,A38)</f>
        <v>31.92</v>
      </c>
      <c r="J38">
        <f t="shared" si="6"/>
        <v>1</v>
      </c>
      <c r="K38">
        <f>IF(COUNTIFS(Sessions!$B:$B,A38,Sessions!$E:$E,G38+1)&gt;0,1,0)</f>
        <v>1</v>
      </c>
      <c r="L38">
        <f>IF(COUNTIFS(Sessions!$B:$B,A38,Sessions!$E:$E,G38+3)&gt;0,1,0)</f>
        <v>1</v>
      </c>
      <c r="M38">
        <f>IF(COUNTIFS(Sessions!$B:$B,A38,Sessions!$E:$E,G38+7)&gt;0,1,0)</f>
        <v>1</v>
      </c>
      <c r="N38" t="str">
        <f t="shared" si="7"/>
        <v>B (&gt;=0.5)</v>
      </c>
      <c r="O38" t="str">
        <f t="shared" si="8"/>
        <v>25-44</v>
      </c>
      <c r="P38" t="str">
        <f t="shared" si="9"/>
        <v>Jun-Dec</v>
      </c>
      <c r="Q38" s="10">
        <f>IF(COUNTIFS(Sessions!$B:$B,A38,Sessions!$E:$E,G38+$R$2)&gt;0,1,0)</f>
        <v>1</v>
      </c>
    </row>
    <row r="39" spans="1:17" x14ac:dyDescent="0.3">
      <c r="A39">
        <v>44</v>
      </c>
      <c r="B39" t="s">
        <v>61</v>
      </c>
      <c r="C39" t="s">
        <v>19</v>
      </c>
      <c r="D39">
        <v>77</v>
      </c>
      <c r="E39">
        <v>0.28953000000000001</v>
      </c>
      <c r="F39" s="2">
        <v>44705.66978009259</v>
      </c>
      <c r="G39" s="3">
        <f t="shared" si="5"/>
        <v>44705</v>
      </c>
      <c r="H39">
        <f>COUNTIF(Sessions!$B:$B,A39)</f>
        <v>4</v>
      </c>
      <c r="I39" s="5">
        <f>SUMIFS(Purchases!$E:$E,Purchases!$F:$F,A39)</f>
        <v>0</v>
      </c>
      <c r="J39">
        <f t="shared" si="6"/>
        <v>0</v>
      </c>
      <c r="K39">
        <f>IF(COUNTIFS(Sessions!$B:$B,A39,Sessions!$E:$E,G39+1)&gt;0,1,0)</f>
        <v>1</v>
      </c>
      <c r="L39">
        <f>IF(COUNTIFS(Sessions!$B:$B,A39,Sessions!$E:$E,G39+3)&gt;0,1,0)</f>
        <v>0</v>
      </c>
      <c r="M39">
        <f>IF(COUNTIFS(Sessions!$B:$B,A39,Sessions!$E:$E,G39+7)&gt;0,1,0)</f>
        <v>0</v>
      </c>
      <c r="N39" t="str">
        <f t="shared" si="7"/>
        <v>A (&lt;0.5)</v>
      </c>
      <c r="O39" t="str">
        <f t="shared" si="8"/>
        <v>65+</v>
      </c>
      <c r="P39" t="str">
        <f t="shared" si="9"/>
        <v>Jan-May</v>
      </c>
      <c r="Q39" s="10">
        <f>IF(COUNTIFS(Sessions!$B:$B,A39,Sessions!$E:$E,G39+$R$2)&gt;0,1,0)</f>
        <v>1</v>
      </c>
    </row>
    <row r="40" spans="1:17" x14ac:dyDescent="0.3">
      <c r="A40">
        <v>45</v>
      </c>
      <c r="B40" t="s">
        <v>62</v>
      </c>
      <c r="C40" t="s">
        <v>19</v>
      </c>
      <c r="D40">
        <v>72</v>
      </c>
      <c r="E40">
        <v>1.76072E-2</v>
      </c>
      <c r="F40" s="2">
        <v>44895.488923611112</v>
      </c>
      <c r="G40" s="3">
        <f t="shared" si="5"/>
        <v>44895</v>
      </c>
      <c r="H40">
        <f>COUNTIF(Sessions!$B:$B,A40)</f>
        <v>18</v>
      </c>
      <c r="I40" s="5">
        <f>SUMIFS(Purchases!$E:$E,Purchases!$F:$F,A40)</f>
        <v>0.99</v>
      </c>
      <c r="J40">
        <f t="shared" si="6"/>
        <v>1</v>
      </c>
      <c r="K40">
        <f>IF(COUNTIFS(Sessions!$B:$B,A40,Sessions!$E:$E,G40+1)&gt;0,1,0)</f>
        <v>1</v>
      </c>
      <c r="L40">
        <f>IF(COUNTIFS(Sessions!$B:$B,A40,Sessions!$E:$E,G40+3)&gt;0,1,0)</f>
        <v>1</v>
      </c>
      <c r="M40">
        <f>IF(COUNTIFS(Sessions!$B:$B,A40,Sessions!$E:$E,G40+7)&gt;0,1,0)</f>
        <v>0</v>
      </c>
      <c r="N40" t="str">
        <f t="shared" si="7"/>
        <v>A (&lt;0.5)</v>
      </c>
      <c r="O40" t="str">
        <f t="shared" si="8"/>
        <v>65+</v>
      </c>
      <c r="P40" t="str">
        <f t="shared" si="9"/>
        <v>Jun-Dec</v>
      </c>
      <c r="Q40" s="10">
        <f>IF(COUNTIFS(Sessions!$B:$B,A40,Sessions!$E:$E,G40+$R$2)&gt;0,1,0)</f>
        <v>1</v>
      </c>
    </row>
    <row r="41" spans="1:17" x14ac:dyDescent="0.3">
      <c r="A41">
        <v>46</v>
      </c>
      <c r="B41" t="s">
        <v>63</v>
      </c>
      <c r="C41" t="s">
        <v>26</v>
      </c>
      <c r="D41">
        <v>44</v>
      </c>
      <c r="E41">
        <v>0.28810999999999998</v>
      </c>
      <c r="F41" s="2">
        <v>44921.5078125</v>
      </c>
      <c r="G41" s="3">
        <f t="shared" si="5"/>
        <v>44921</v>
      </c>
      <c r="H41">
        <f>COUNTIF(Sessions!$B:$B,A41)</f>
        <v>25</v>
      </c>
      <c r="I41" s="5">
        <f>SUMIFS(Purchases!$E:$E,Purchases!$F:$F,A41)</f>
        <v>9.99</v>
      </c>
      <c r="J41">
        <f t="shared" si="6"/>
        <v>1</v>
      </c>
      <c r="K41">
        <f>IF(COUNTIFS(Sessions!$B:$B,A41,Sessions!$E:$E,G41+1)&gt;0,1,0)</f>
        <v>1</v>
      </c>
      <c r="L41">
        <f>IF(COUNTIFS(Sessions!$B:$B,A41,Sessions!$E:$E,G41+3)&gt;0,1,0)</f>
        <v>1</v>
      </c>
      <c r="M41">
        <f>IF(COUNTIFS(Sessions!$B:$B,A41,Sessions!$E:$E,G41+7)&gt;0,1,0)</f>
        <v>0</v>
      </c>
      <c r="N41" t="str">
        <f t="shared" si="7"/>
        <v>A (&lt;0.5)</v>
      </c>
      <c r="O41" t="str">
        <f t="shared" si="8"/>
        <v>25-44</v>
      </c>
      <c r="P41" t="str">
        <f t="shared" si="9"/>
        <v>Jun-Dec</v>
      </c>
      <c r="Q41" s="10">
        <f>IF(COUNTIFS(Sessions!$B:$B,A41,Sessions!$E:$E,G41+$R$2)&gt;0,1,0)</f>
        <v>1</v>
      </c>
    </row>
    <row r="42" spans="1:17" x14ac:dyDescent="0.3">
      <c r="A42">
        <v>47</v>
      </c>
      <c r="B42" t="s">
        <v>64</v>
      </c>
      <c r="C42" t="s">
        <v>19</v>
      </c>
      <c r="D42">
        <v>30</v>
      </c>
      <c r="E42">
        <v>0.65540600000000004</v>
      </c>
      <c r="F42" s="2">
        <v>44830.015787037039</v>
      </c>
      <c r="G42" s="3">
        <f t="shared" si="5"/>
        <v>44830</v>
      </c>
      <c r="H42">
        <f>COUNTIF(Sessions!$B:$B,A42)</f>
        <v>10</v>
      </c>
      <c r="I42" s="5">
        <f>SUMIFS(Purchases!$E:$E,Purchases!$F:$F,A42)</f>
        <v>0</v>
      </c>
      <c r="J42">
        <f t="shared" si="6"/>
        <v>0</v>
      </c>
      <c r="K42">
        <f>IF(COUNTIFS(Sessions!$B:$B,A42,Sessions!$E:$E,G42+1)&gt;0,1,0)</f>
        <v>1</v>
      </c>
      <c r="L42">
        <f>IF(COUNTIFS(Sessions!$B:$B,A42,Sessions!$E:$E,G42+3)&gt;0,1,0)</f>
        <v>0</v>
      </c>
      <c r="M42">
        <f>IF(COUNTIFS(Sessions!$B:$B,A42,Sessions!$E:$E,G42+7)&gt;0,1,0)</f>
        <v>0</v>
      </c>
      <c r="N42" t="str">
        <f t="shared" si="7"/>
        <v>B (&gt;=0.5)</v>
      </c>
      <c r="O42" t="str">
        <f t="shared" si="8"/>
        <v>25-44</v>
      </c>
      <c r="P42" t="str">
        <f t="shared" si="9"/>
        <v>Jun-Dec</v>
      </c>
      <c r="Q42" s="10">
        <f>IF(COUNTIFS(Sessions!$B:$B,A42,Sessions!$E:$E,G42+$R$2)&gt;0,1,0)</f>
        <v>1</v>
      </c>
    </row>
    <row r="43" spans="1:17" x14ac:dyDescent="0.3">
      <c r="A43">
        <v>48</v>
      </c>
      <c r="B43" t="s">
        <v>65</v>
      </c>
      <c r="C43" t="s">
        <v>26</v>
      </c>
      <c r="D43">
        <v>57</v>
      </c>
      <c r="E43">
        <v>0.119785</v>
      </c>
      <c r="F43" s="2">
        <v>44751.449664351851</v>
      </c>
      <c r="G43" s="3">
        <f t="shared" si="5"/>
        <v>44751</v>
      </c>
      <c r="H43">
        <f>COUNTIF(Sessions!$B:$B,A43)</f>
        <v>14</v>
      </c>
      <c r="I43" s="5">
        <f>SUMIFS(Purchases!$E:$E,Purchases!$F:$F,A43)</f>
        <v>4.9700000000000006</v>
      </c>
      <c r="J43">
        <f t="shared" si="6"/>
        <v>1</v>
      </c>
      <c r="K43">
        <f>IF(COUNTIFS(Sessions!$B:$B,A43,Sessions!$E:$E,G43+1)&gt;0,1,0)</f>
        <v>1</v>
      </c>
      <c r="L43">
        <f>IF(COUNTIFS(Sessions!$B:$B,A43,Sessions!$E:$E,G43+3)&gt;0,1,0)</f>
        <v>0</v>
      </c>
      <c r="M43">
        <f>IF(COUNTIFS(Sessions!$B:$B,A43,Sessions!$E:$E,G43+7)&gt;0,1,0)</f>
        <v>0</v>
      </c>
      <c r="N43" t="str">
        <f t="shared" si="7"/>
        <v>A (&lt;0.5)</v>
      </c>
      <c r="O43" t="str">
        <f t="shared" si="8"/>
        <v>45-64</v>
      </c>
      <c r="P43" t="str">
        <f t="shared" si="9"/>
        <v>Jun-Dec</v>
      </c>
      <c r="Q43" s="10">
        <f>IF(COUNTIFS(Sessions!$B:$B,A43,Sessions!$E:$E,G43+$R$2)&gt;0,1,0)</f>
        <v>1</v>
      </c>
    </row>
    <row r="44" spans="1:17" x14ac:dyDescent="0.3">
      <c r="A44">
        <v>49</v>
      </c>
      <c r="B44" t="s">
        <v>66</v>
      </c>
      <c r="C44" t="s">
        <v>19</v>
      </c>
      <c r="D44">
        <v>94</v>
      </c>
      <c r="E44">
        <v>9.7562599999999999E-2</v>
      </c>
      <c r="F44" s="2">
        <v>44596.741736111115</v>
      </c>
      <c r="G44" s="3">
        <f t="shared" si="5"/>
        <v>44596</v>
      </c>
      <c r="H44">
        <f>COUNTIF(Sessions!$B:$B,A44)</f>
        <v>3</v>
      </c>
      <c r="I44" s="5">
        <f>SUMIFS(Purchases!$E:$E,Purchases!$F:$F,A44)</f>
        <v>0</v>
      </c>
      <c r="J44">
        <f t="shared" si="6"/>
        <v>0</v>
      </c>
      <c r="K44">
        <f>IF(COUNTIFS(Sessions!$B:$B,A44,Sessions!$E:$E,G44+1)&gt;0,1,0)</f>
        <v>1</v>
      </c>
      <c r="L44">
        <f>IF(COUNTIFS(Sessions!$B:$B,A44,Sessions!$E:$E,G44+3)&gt;0,1,0)</f>
        <v>0</v>
      </c>
      <c r="M44">
        <f>IF(COUNTIFS(Sessions!$B:$B,A44,Sessions!$E:$E,G44+7)&gt;0,1,0)</f>
        <v>0</v>
      </c>
      <c r="N44" t="str">
        <f t="shared" si="7"/>
        <v>A (&lt;0.5)</v>
      </c>
      <c r="O44" t="str">
        <f t="shared" si="8"/>
        <v>65+</v>
      </c>
      <c r="P44" t="str">
        <f t="shared" si="9"/>
        <v>Jan-May</v>
      </c>
      <c r="Q44" s="10">
        <f>IF(COUNTIFS(Sessions!$B:$B,A44,Sessions!$E:$E,G44+$R$2)&gt;0,1,0)</f>
        <v>1</v>
      </c>
    </row>
    <row r="45" spans="1:17" x14ac:dyDescent="0.3">
      <c r="A45">
        <v>50</v>
      </c>
      <c r="B45" t="s">
        <v>67</v>
      </c>
      <c r="C45" t="s">
        <v>22</v>
      </c>
      <c r="D45">
        <v>71</v>
      </c>
      <c r="E45">
        <v>0.98280599999999996</v>
      </c>
      <c r="F45" s="2">
        <v>44750.132939814815</v>
      </c>
      <c r="G45" s="3">
        <f t="shared" si="5"/>
        <v>44750</v>
      </c>
      <c r="H45">
        <f>COUNTIF(Sessions!$B:$B,A45)</f>
        <v>9</v>
      </c>
      <c r="I45" s="5">
        <f>SUMIFS(Purchases!$E:$E,Purchases!$F:$F,A45)</f>
        <v>0</v>
      </c>
      <c r="J45">
        <f t="shared" si="6"/>
        <v>0</v>
      </c>
      <c r="K45">
        <f>IF(COUNTIFS(Sessions!$B:$B,A45,Sessions!$E:$E,G45+1)&gt;0,1,0)</f>
        <v>1</v>
      </c>
      <c r="L45">
        <f>IF(COUNTIFS(Sessions!$B:$B,A45,Sessions!$E:$E,G45+3)&gt;0,1,0)</f>
        <v>0</v>
      </c>
      <c r="M45">
        <f>IF(COUNTIFS(Sessions!$B:$B,A45,Sessions!$E:$E,G45+7)&gt;0,1,0)</f>
        <v>0</v>
      </c>
      <c r="N45" t="str">
        <f t="shared" si="7"/>
        <v>B (&gt;=0.5)</v>
      </c>
      <c r="O45" t="str">
        <f t="shared" si="8"/>
        <v>65+</v>
      </c>
      <c r="P45" t="str">
        <f t="shared" si="9"/>
        <v>Jun-Dec</v>
      </c>
      <c r="Q45" s="10">
        <f>IF(COUNTIFS(Sessions!$B:$B,A45,Sessions!$E:$E,G45+$R$2)&gt;0,1,0)</f>
        <v>1</v>
      </c>
    </row>
    <row r="46" spans="1:17" x14ac:dyDescent="0.3">
      <c r="A46">
        <v>51</v>
      </c>
      <c r="B46" t="s">
        <v>68</v>
      </c>
      <c r="C46" t="s">
        <v>26</v>
      </c>
      <c r="D46">
        <v>91</v>
      </c>
      <c r="E46">
        <v>0.67491400000000001</v>
      </c>
      <c r="F46" s="2">
        <v>44668.175000000003</v>
      </c>
      <c r="G46" s="3">
        <f t="shared" si="5"/>
        <v>44668</v>
      </c>
      <c r="H46">
        <f>COUNTIF(Sessions!$B:$B,A46)</f>
        <v>2</v>
      </c>
      <c r="I46" s="5">
        <f>SUMIFS(Purchases!$E:$E,Purchases!$F:$F,A46)</f>
        <v>0</v>
      </c>
      <c r="J46">
        <f t="shared" si="6"/>
        <v>0</v>
      </c>
      <c r="K46">
        <f>IF(COUNTIFS(Sessions!$B:$B,A46,Sessions!$E:$E,G46+1)&gt;0,1,0)</f>
        <v>0</v>
      </c>
      <c r="L46">
        <f>IF(COUNTIFS(Sessions!$B:$B,A46,Sessions!$E:$E,G46+3)&gt;0,1,0)</f>
        <v>0</v>
      </c>
      <c r="M46">
        <f>IF(COUNTIFS(Sessions!$B:$B,A46,Sessions!$E:$E,G46+7)&gt;0,1,0)</f>
        <v>0</v>
      </c>
      <c r="N46" t="str">
        <f t="shared" si="7"/>
        <v>B (&gt;=0.5)</v>
      </c>
      <c r="O46" t="str">
        <f t="shared" si="8"/>
        <v>65+</v>
      </c>
      <c r="P46" t="str">
        <f t="shared" si="9"/>
        <v>Jan-May</v>
      </c>
      <c r="Q46" s="10">
        <f>IF(COUNTIFS(Sessions!$B:$B,A46,Sessions!$E:$E,G46+$R$2)&gt;0,1,0)</f>
        <v>0</v>
      </c>
    </row>
    <row r="47" spans="1:17" x14ac:dyDescent="0.3">
      <c r="A47">
        <v>52</v>
      </c>
      <c r="B47" t="s">
        <v>69</v>
      </c>
      <c r="C47" t="s">
        <v>41</v>
      </c>
      <c r="D47">
        <v>27</v>
      </c>
      <c r="E47">
        <v>3.8153300000000001E-2</v>
      </c>
      <c r="F47" s="2">
        <v>44585.785833333335</v>
      </c>
      <c r="G47" s="3">
        <f t="shared" si="5"/>
        <v>44585</v>
      </c>
      <c r="H47">
        <f>COUNTIF(Sessions!$B:$B,A47)</f>
        <v>2</v>
      </c>
      <c r="I47" s="5">
        <f>SUMIFS(Purchases!$E:$E,Purchases!$F:$F,A47)</f>
        <v>0</v>
      </c>
      <c r="J47">
        <f t="shared" si="6"/>
        <v>0</v>
      </c>
      <c r="K47">
        <f>IF(COUNTIFS(Sessions!$B:$B,A47,Sessions!$E:$E,G47+1)&gt;0,1,0)</f>
        <v>0</v>
      </c>
      <c r="L47">
        <f>IF(COUNTIFS(Sessions!$B:$B,A47,Sessions!$E:$E,G47+3)&gt;0,1,0)</f>
        <v>0</v>
      </c>
      <c r="M47">
        <f>IF(COUNTIFS(Sessions!$B:$B,A47,Sessions!$E:$E,G47+7)&gt;0,1,0)</f>
        <v>0</v>
      </c>
      <c r="N47" t="str">
        <f t="shared" si="7"/>
        <v>A (&lt;0.5)</v>
      </c>
      <c r="O47" t="str">
        <f t="shared" si="8"/>
        <v>25-44</v>
      </c>
      <c r="P47" t="str">
        <f t="shared" si="9"/>
        <v>Jan-May</v>
      </c>
      <c r="Q47" s="10">
        <f>IF(COUNTIFS(Sessions!$B:$B,A47,Sessions!$E:$E,G47+$R$2)&gt;0,1,0)</f>
        <v>0</v>
      </c>
    </row>
    <row r="48" spans="1:17" x14ac:dyDescent="0.3">
      <c r="A48">
        <v>53</v>
      </c>
      <c r="B48" t="s">
        <v>70</v>
      </c>
      <c r="C48" t="s">
        <v>22</v>
      </c>
      <c r="D48">
        <v>56</v>
      </c>
      <c r="E48">
        <v>3.4157600000000003E-2</v>
      </c>
      <c r="F48" s="2">
        <v>44921.535717592589</v>
      </c>
      <c r="G48" s="3">
        <f t="shared" si="5"/>
        <v>44921</v>
      </c>
      <c r="H48">
        <f>COUNTIF(Sessions!$B:$B,A48)</f>
        <v>11</v>
      </c>
      <c r="I48" s="5">
        <f>SUMIFS(Purchases!$E:$E,Purchases!$F:$F,A48)</f>
        <v>12.98</v>
      </c>
      <c r="J48">
        <f t="shared" si="6"/>
        <v>1</v>
      </c>
      <c r="K48">
        <f>IF(COUNTIFS(Sessions!$B:$B,A48,Sessions!$E:$E,G48+1)&gt;0,1,0)</f>
        <v>1</v>
      </c>
      <c r="L48">
        <f>IF(COUNTIFS(Sessions!$B:$B,A48,Sessions!$E:$E,G48+3)&gt;0,1,0)</f>
        <v>0</v>
      </c>
      <c r="M48">
        <f>IF(COUNTIFS(Sessions!$B:$B,A48,Sessions!$E:$E,G48+7)&gt;0,1,0)</f>
        <v>0</v>
      </c>
      <c r="N48" t="str">
        <f t="shared" si="7"/>
        <v>A (&lt;0.5)</v>
      </c>
      <c r="O48" t="str">
        <f t="shared" si="8"/>
        <v>45-64</v>
      </c>
      <c r="P48" t="str">
        <f t="shared" si="9"/>
        <v>Jun-Dec</v>
      </c>
      <c r="Q48" s="10">
        <f>IF(COUNTIFS(Sessions!$B:$B,A48,Sessions!$E:$E,G48+$R$2)&gt;0,1,0)</f>
        <v>1</v>
      </c>
    </row>
    <row r="49" spans="1:17" x14ac:dyDescent="0.3">
      <c r="A49">
        <v>54</v>
      </c>
      <c r="B49" t="s">
        <v>71</v>
      </c>
      <c r="C49" t="s">
        <v>19</v>
      </c>
      <c r="D49">
        <v>68</v>
      </c>
      <c r="E49">
        <v>0.76363000000000003</v>
      </c>
      <c r="F49" s="2">
        <v>44779.574004629627</v>
      </c>
      <c r="G49" s="3">
        <f t="shared" si="5"/>
        <v>44779</v>
      </c>
      <c r="H49">
        <f>COUNTIF(Sessions!$B:$B,A49)</f>
        <v>4</v>
      </c>
      <c r="I49" s="5">
        <f>SUMIFS(Purchases!$E:$E,Purchases!$F:$F,A49)</f>
        <v>2.99</v>
      </c>
      <c r="J49">
        <f t="shared" si="6"/>
        <v>1</v>
      </c>
      <c r="K49">
        <f>IF(COUNTIFS(Sessions!$B:$B,A49,Sessions!$E:$E,G49+1)&gt;0,1,0)</f>
        <v>1</v>
      </c>
      <c r="L49">
        <f>IF(COUNTIFS(Sessions!$B:$B,A49,Sessions!$E:$E,G49+3)&gt;0,1,0)</f>
        <v>0</v>
      </c>
      <c r="M49">
        <f>IF(COUNTIFS(Sessions!$B:$B,A49,Sessions!$E:$E,G49+7)&gt;0,1,0)</f>
        <v>0</v>
      </c>
      <c r="N49" t="str">
        <f t="shared" si="7"/>
        <v>B (&gt;=0.5)</v>
      </c>
      <c r="O49" t="str">
        <f t="shared" si="8"/>
        <v>65+</v>
      </c>
      <c r="P49" t="str">
        <f t="shared" si="9"/>
        <v>Jun-Dec</v>
      </c>
      <c r="Q49" s="10">
        <f>IF(COUNTIFS(Sessions!$B:$B,A49,Sessions!$E:$E,G49+$R$2)&gt;0,1,0)</f>
        <v>1</v>
      </c>
    </row>
    <row r="50" spans="1:17" x14ac:dyDescent="0.3">
      <c r="A50">
        <v>55</v>
      </c>
      <c r="B50" t="s">
        <v>72</v>
      </c>
      <c r="C50" t="s">
        <v>26</v>
      </c>
      <c r="D50">
        <v>89</v>
      </c>
      <c r="E50">
        <v>0.91498599999999997</v>
      </c>
      <c r="F50" s="2">
        <v>44866.929907407408</v>
      </c>
      <c r="G50" s="3">
        <f t="shared" si="5"/>
        <v>44866</v>
      </c>
      <c r="H50">
        <f>COUNTIF(Sessions!$B:$B,A50)</f>
        <v>8</v>
      </c>
      <c r="I50" s="5">
        <f>SUMIFS(Purchases!$E:$E,Purchases!$F:$F,A50)</f>
        <v>0.99</v>
      </c>
      <c r="J50">
        <f t="shared" si="6"/>
        <v>1</v>
      </c>
      <c r="K50">
        <f>IF(COUNTIFS(Sessions!$B:$B,A50,Sessions!$E:$E,G50+1)&gt;0,1,0)</f>
        <v>1</v>
      </c>
      <c r="L50">
        <f>IF(COUNTIFS(Sessions!$B:$B,A50,Sessions!$E:$E,G50+3)&gt;0,1,0)</f>
        <v>0</v>
      </c>
      <c r="M50">
        <f>IF(COUNTIFS(Sessions!$B:$B,A50,Sessions!$E:$E,G50+7)&gt;0,1,0)</f>
        <v>0</v>
      </c>
      <c r="N50" t="str">
        <f t="shared" si="7"/>
        <v>B (&gt;=0.5)</v>
      </c>
      <c r="O50" t="str">
        <f t="shared" si="8"/>
        <v>65+</v>
      </c>
      <c r="P50" t="str">
        <f t="shared" si="9"/>
        <v>Jun-Dec</v>
      </c>
      <c r="Q50" s="10">
        <f>IF(COUNTIFS(Sessions!$B:$B,A50,Sessions!$E:$E,G50+$R$2)&gt;0,1,0)</f>
        <v>1</v>
      </c>
    </row>
    <row r="51" spans="1:17" x14ac:dyDescent="0.3">
      <c r="A51">
        <v>56</v>
      </c>
      <c r="B51" t="s">
        <v>73</v>
      </c>
      <c r="C51" t="s">
        <v>22</v>
      </c>
      <c r="D51">
        <v>47</v>
      </c>
      <c r="E51">
        <v>0.39771699999999999</v>
      </c>
      <c r="F51" s="2">
        <v>44737.594976851855</v>
      </c>
      <c r="G51" s="3">
        <f t="shared" si="5"/>
        <v>44737</v>
      </c>
      <c r="H51">
        <f>COUNTIF(Sessions!$B:$B,A51)</f>
        <v>8</v>
      </c>
      <c r="I51" s="5">
        <f>SUMIFS(Purchases!$E:$E,Purchases!$F:$F,A51)</f>
        <v>0</v>
      </c>
      <c r="J51">
        <f t="shared" si="6"/>
        <v>0</v>
      </c>
      <c r="K51">
        <f>IF(COUNTIFS(Sessions!$B:$B,A51,Sessions!$E:$E,G51+1)&gt;0,1,0)</f>
        <v>1</v>
      </c>
      <c r="L51">
        <f>IF(COUNTIFS(Sessions!$B:$B,A51,Sessions!$E:$E,G51+3)&gt;0,1,0)</f>
        <v>0</v>
      </c>
      <c r="M51">
        <f>IF(COUNTIFS(Sessions!$B:$B,A51,Sessions!$E:$E,G51+7)&gt;0,1,0)</f>
        <v>0</v>
      </c>
      <c r="N51" t="str">
        <f t="shared" si="7"/>
        <v>A (&lt;0.5)</v>
      </c>
      <c r="O51" t="str">
        <f t="shared" si="8"/>
        <v>45-64</v>
      </c>
      <c r="P51" t="str">
        <f t="shared" si="9"/>
        <v>Jun-Dec</v>
      </c>
      <c r="Q51" s="10">
        <f>IF(COUNTIFS(Sessions!$B:$B,A51,Sessions!$E:$E,G51+$R$2)&gt;0,1,0)</f>
        <v>1</v>
      </c>
    </row>
    <row r="52" spans="1:17" x14ac:dyDescent="0.3">
      <c r="A52">
        <v>57</v>
      </c>
      <c r="B52" t="s">
        <v>74</v>
      </c>
      <c r="C52" t="s">
        <v>41</v>
      </c>
      <c r="D52">
        <v>96</v>
      </c>
      <c r="E52">
        <v>9.7064300000000006E-2</v>
      </c>
      <c r="F52" s="2">
        <v>44726.534675925926</v>
      </c>
      <c r="G52" s="3">
        <f t="shared" si="5"/>
        <v>44726</v>
      </c>
      <c r="H52">
        <f>COUNTIF(Sessions!$B:$B,A52)</f>
        <v>12</v>
      </c>
      <c r="I52" s="5">
        <f>SUMIFS(Purchases!$E:$E,Purchases!$F:$F,A52)</f>
        <v>6.9700000000000006</v>
      </c>
      <c r="J52">
        <f t="shared" si="6"/>
        <v>1</v>
      </c>
      <c r="K52">
        <f>IF(COUNTIFS(Sessions!$B:$B,A52,Sessions!$E:$E,G52+1)&gt;0,1,0)</f>
        <v>1</v>
      </c>
      <c r="L52">
        <f>IF(COUNTIFS(Sessions!$B:$B,A52,Sessions!$E:$E,G52+3)&gt;0,1,0)</f>
        <v>1</v>
      </c>
      <c r="M52">
        <f>IF(COUNTIFS(Sessions!$B:$B,A52,Sessions!$E:$E,G52+7)&gt;0,1,0)</f>
        <v>0</v>
      </c>
      <c r="N52" t="str">
        <f t="shared" si="7"/>
        <v>A (&lt;0.5)</v>
      </c>
      <c r="O52" t="str">
        <f t="shared" si="8"/>
        <v>65+</v>
      </c>
      <c r="P52" t="str">
        <f t="shared" si="9"/>
        <v>Jun-Dec</v>
      </c>
      <c r="Q52" s="10">
        <f>IF(COUNTIFS(Sessions!$B:$B,A52,Sessions!$E:$E,G52+$R$2)&gt;0,1,0)</f>
        <v>1</v>
      </c>
    </row>
    <row r="53" spans="1:17" x14ac:dyDescent="0.3">
      <c r="A53">
        <v>58</v>
      </c>
      <c r="B53" t="s">
        <v>75</v>
      </c>
      <c r="C53" t="s">
        <v>24</v>
      </c>
      <c r="D53">
        <v>31</v>
      </c>
      <c r="E53">
        <v>8.1358799999999995E-2</v>
      </c>
      <c r="F53" s="2">
        <v>44678.536724537036</v>
      </c>
      <c r="G53" s="3">
        <f t="shared" si="5"/>
        <v>44678</v>
      </c>
      <c r="H53">
        <f>COUNTIF(Sessions!$B:$B,A53)</f>
        <v>6</v>
      </c>
      <c r="I53" s="5">
        <f>SUMIFS(Purchases!$E:$E,Purchases!$F:$F,A53)</f>
        <v>0.99</v>
      </c>
      <c r="J53">
        <f t="shared" si="6"/>
        <v>1</v>
      </c>
      <c r="K53">
        <f>IF(COUNTIFS(Sessions!$B:$B,A53,Sessions!$E:$E,G53+1)&gt;0,1,0)</f>
        <v>1</v>
      </c>
      <c r="L53">
        <f>IF(COUNTIFS(Sessions!$B:$B,A53,Sessions!$E:$E,G53+3)&gt;0,1,0)</f>
        <v>0</v>
      </c>
      <c r="M53">
        <f>IF(COUNTIFS(Sessions!$B:$B,A53,Sessions!$E:$E,G53+7)&gt;0,1,0)</f>
        <v>0</v>
      </c>
      <c r="N53" t="str">
        <f t="shared" si="7"/>
        <v>A (&lt;0.5)</v>
      </c>
      <c r="O53" t="str">
        <f t="shared" si="8"/>
        <v>25-44</v>
      </c>
      <c r="P53" t="str">
        <f t="shared" si="9"/>
        <v>Jan-May</v>
      </c>
      <c r="Q53" s="10">
        <f>IF(COUNTIFS(Sessions!$B:$B,A53,Sessions!$E:$E,G53+$R$2)&gt;0,1,0)</f>
        <v>1</v>
      </c>
    </row>
    <row r="54" spans="1:17" x14ac:dyDescent="0.3">
      <c r="A54">
        <v>59</v>
      </c>
      <c r="B54" t="s">
        <v>76</v>
      </c>
      <c r="C54" t="s">
        <v>24</v>
      </c>
      <c r="D54">
        <v>54</v>
      </c>
      <c r="E54">
        <v>0.38115599999999999</v>
      </c>
      <c r="F54" s="2">
        <v>44827.821793981479</v>
      </c>
      <c r="G54" s="3">
        <f t="shared" si="5"/>
        <v>44827</v>
      </c>
      <c r="H54">
        <f>COUNTIF(Sessions!$B:$B,A54)</f>
        <v>57</v>
      </c>
      <c r="I54" s="5">
        <f>SUMIFS(Purchases!$E:$E,Purchases!$F:$F,A54)</f>
        <v>8.93</v>
      </c>
      <c r="J54">
        <f t="shared" si="6"/>
        <v>1</v>
      </c>
      <c r="K54">
        <f>IF(COUNTIFS(Sessions!$B:$B,A54,Sessions!$E:$E,G54+1)&gt;0,1,0)</f>
        <v>1</v>
      </c>
      <c r="L54">
        <f>IF(COUNTIFS(Sessions!$B:$B,A54,Sessions!$E:$E,G54+3)&gt;0,1,0)</f>
        <v>1</v>
      </c>
      <c r="M54">
        <f>IF(COUNTIFS(Sessions!$B:$B,A54,Sessions!$E:$E,G54+7)&gt;0,1,0)</f>
        <v>1</v>
      </c>
      <c r="N54" t="str">
        <f t="shared" si="7"/>
        <v>A (&lt;0.5)</v>
      </c>
      <c r="O54" t="str">
        <f t="shared" si="8"/>
        <v>45-64</v>
      </c>
      <c r="P54" t="str">
        <f t="shared" si="9"/>
        <v>Jun-Dec</v>
      </c>
      <c r="Q54" s="10">
        <f>IF(COUNTIFS(Sessions!$B:$B,A54,Sessions!$E:$E,G54+$R$2)&gt;0,1,0)</f>
        <v>1</v>
      </c>
    </row>
    <row r="55" spans="1:17" x14ac:dyDescent="0.3">
      <c r="A55">
        <v>60</v>
      </c>
      <c r="B55" t="s">
        <v>77</v>
      </c>
      <c r="C55" t="s">
        <v>41</v>
      </c>
      <c r="D55">
        <v>80</v>
      </c>
      <c r="E55">
        <v>2.28971E-2</v>
      </c>
      <c r="F55" s="2">
        <v>44577.107407407406</v>
      </c>
      <c r="G55" s="3">
        <f t="shared" si="5"/>
        <v>44577</v>
      </c>
      <c r="H55">
        <f>COUNTIF(Sessions!$B:$B,A55)</f>
        <v>1</v>
      </c>
      <c r="I55" s="5">
        <f>SUMIFS(Purchases!$E:$E,Purchases!$F:$F,A55)</f>
        <v>0</v>
      </c>
      <c r="J55">
        <f t="shared" si="6"/>
        <v>0</v>
      </c>
      <c r="K55">
        <f>IF(COUNTIFS(Sessions!$B:$B,A55,Sessions!$E:$E,G55+1)&gt;0,1,0)</f>
        <v>0</v>
      </c>
      <c r="L55">
        <f>IF(COUNTIFS(Sessions!$B:$B,A55,Sessions!$E:$E,G55+3)&gt;0,1,0)</f>
        <v>0</v>
      </c>
      <c r="M55">
        <f>IF(COUNTIFS(Sessions!$B:$B,A55,Sessions!$E:$E,G55+7)&gt;0,1,0)</f>
        <v>0</v>
      </c>
      <c r="N55" t="str">
        <f t="shared" si="7"/>
        <v>A (&lt;0.5)</v>
      </c>
      <c r="O55" t="str">
        <f t="shared" si="8"/>
        <v>65+</v>
      </c>
      <c r="P55" t="str">
        <f t="shared" si="9"/>
        <v>Jan-May</v>
      </c>
      <c r="Q55" s="10">
        <f>IF(COUNTIFS(Sessions!$B:$B,A55,Sessions!$E:$E,G55+$R$2)&gt;0,1,0)</f>
        <v>0</v>
      </c>
    </row>
    <row r="56" spans="1:17" x14ac:dyDescent="0.3">
      <c r="A56">
        <v>61</v>
      </c>
      <c r="B56" t="s">
        <v>78</v>
      </c>
      <c r="C56" t="s">
        <v>22</v>
      </c>
      <c r="D56">
        <v>95</v>
      </c>
      <c r="E56">
        <v>0.72491700000000003</v>
      </c>
      <c r="F56" s="2">
        <v>44697.524340277778</v>
      </c>
      <c r="G56" s="3">
        <f t="shared" si="5"/>
        <v>44697</v>
      </c>
      <c r="H56">
        <f>COUNTIF(Sessions!$B:$B,A56)</f>
        <v>1</v>
      </c>
      <c r="I56" s="5">
        <f>SUMIFS(Purchases!$E:$E,Purchases!$F:$F,A56)</f>
        <v>0</v>
      </c>
      <c r="J56">
        <f t="shared" si="6"/>
        <v>0</v>
      </c>
      <c r="K56">
        <f>IF(COUNTIFS(Sessions!$B:$B,A56,Sessions!$E:$E,G56+1)&gt;0,1,0)</f>
        <v>0</v>
      </c>
      <c r="L56">
        <f>IF(COUNTIFS(Sessions!$B:$B,A56,Sessions!$E:$E,G56+3)&gt;0,1,0)</f>
        <v>0</v>
      </c>
      <c r="M56">
        <f>IF(COUNTIFS(Sessions!$B:$B,A56,Sessions!$E:$E,G56+7)&gt;0,1,0)</f>
        <v>0</v>
      </c>
      <c r="N56" t="str">
        <f t="shared" si="7"/>
        <v>B (&gt;=0.5)</v>
      </c>
      <c r="O56" t="str">
        <f t="shared" si="8"/>
        <v>65+</v>
      </c>
      <c r="P56" t="str">
        <f t="shared" si="9"/>
        <v>Jan-May</v>
      </c>
      <c r="Q56" s="10">
        <f>IF(COUNTIFS(Sessions!$B:$B,A56,Sessions!$E:$E,G56+$R$2)&gt;0,1,0)</f>
        <v>0</v>
      </c>
    </row>
    <row r="57" spans="1:17" x14ac:dyDescent="0.3">
      <c r="A57">
        <v>62</v>
      </c>
      <c r="B57" t="s">
        <v>79</v>
      </c>
      <c r="C57" t="s">
        <v>19</v>
      </c>
      <c r="D57">
        <v>98</v>
      </c>
      <c r="E57">
        <v>5.0612200000000003E-2</v>
      </c>
      <c r="F57" s="2">
        <v>44598.746400462966</v>
      </c>
      <c r="G57" s="3">
        <f t="shared" si="5"/>
        <v>44598</v>
      </c>
      <c r="H57">
        <f>COUNTIF(Sessions!$B:$B,A57)</f>
        <v>1</v>
      </c>
      <c r="I57" s="5">
        <f>SUMIFS(Purchases!$E:$E,Purchases!$F:$F,A57)</f>
        <v>0</v>
      </c>
      <c r="J57">
        <f t="shared" si="6"/>
        <v>0</v>
      </c>
      <c r="K57">
        <f>IF(COUNTIFS(Sessions!$B:$B,A57,Sessions!$E:$E,G57+1)&gt;0,1,0)</f>
        <v>0</v>
      </c>
      <c r="L57">
        <f>IF(COUNTIFS(Sessions!$B:$B,A57,Sessions!$E:$E,G57+3)&gt;0,1,0)</f>
        <v>0</v>
      </c>
      <c r="M57">
        <f>IF(COUNTIFS(Sessions!$B:$B,A57,Sessions!$E:$E,G57+7)&gt;0,1,0)</f>
        <v>0</v>
      </c>
      <c r="N57" t="str">
        <f t="shared" si="7"/>
        <v>A (&lt;0.5)</v>
      </c>
      <c r="O57" t="str">
        <f t="shared" si="8"/>
        <v>65+</v>
      </c>
      <c r="P57" t="str">
        <f t="shared" si="9"/>
        <v>Jan-May</v>
      </c>
      <c r="Q57" s="10">
        <f>IF(COUNTIFS(Sessions!$B:$B,A57,Sessions!$E:$E,G57+$R$2)&gt;0,1,0)</f>
        <v>0</v>
      </c>
    </row>
    <row r="58" spans="1:17" x14ac:dyDescent="0.3">
      <c r="A58">
        <v>63</v>
      </c>
      <c r="B58" t="s">
        <v>80</v>
      </c>
      <c r="C58" t="s">
        <v>22</v>
      </c>
      <c r="D58">
        <v>62</v>
      </c>
      <c r="E58">
        <v>6.6392400000000004E-2</v>
      </c>
      <c r="F58" s="2">
        <v>44780.912280092591</v>
      </c>
      <c r="G58" s="3">
        <f t="shared" si="5"/>
        <v>44780</v>
      </c>
      <c r="H58">
        <f>COUNTIF(Sessions!$B:$B,A58)</f>
        <v>6</v>
      </c>
      <c r="I58" s="5">
        <f>SUMIFS(Purchases!$E:$E,Purchases!$F:$F,A58)</f>
        <v>0</v>
      </c>
      <c r="J58">
        <f t="shared" si="6"/>
        <v>0</v>
      </c>
      <c r="K58">
        <f>IF(COUNTIFS(Sessions!$B:$B,A58,Sessions!$E:$E,G58+1)&gt;0,1,0)</f>
        <v>1</v>
      </c>
      <c r="L58">
        <f>IF(COUNTIFS(Sessions!$B:$B,A58,Sessions!$E:$E,G58+3)&gt;0,1,0)</f>
        <v>0</v>
      </c>
      <c r="M58">
        <f>IF(COUNTIFS(Sessions!$B:$B,A58,Sessions!$E:$E,G58+7)&gt;0,1,0)</f>
        <v>0</v>
      </c>
      <c r="N58" t="str">
        <f t="shared" si="7"/>
        <v>A (&lt;0.5)</v>
      </c>
      <c r="O58" t="str">
        <f t="shared" si="8"/>
        <v>45-64</v>
      </c>
      <c r="P58" t="str">
        <f t="shared" si="9"/>
        <v>Jun-Dec</v>
      </c>
      <c r="Q58" s="10">
        <f>IF(COUNTIFS(Sessions!$B:$B,A58,Sessions!$E:$E,G58+$R$2)&gt;0,1,0)</f>
        <v>1</v>
      </c>
    </row>
    <row r="59" spans="1:17" x14ac:dyDescent="0.3">
      <c r="A59">
        <v>64</v>
      </c>
      <c r="B59" t="s">
        <v>81</v>
      </c>
      <c r="C59" t="s">
        <v>19</v>
      </c>
      <c r="D59">
        <v>40</v>
      </c>
      <c r="E59">
        <v>0.78175700000000004</v>
      </c>
      <c r="F59" s="2">
        <v>44688.906458333331</v>
      </c>
      <c r="G59" s="3">
        <f t="shared" si="5"/>
        <v>44688</v>
      </c>
      <c r="H59">
        <f>COUNTIF(Sessions!$B:$B,A59)</f>
        <v>1</v>
      </c>
      <c r="I59" s="5">
        <f>SUMIFS(Purchases!$E:$E,Purchases!$F:$F,A59)</f>
        <v>0</v>
      </c>
      <c r="J59">
        <f t="shared" si="6"/>
        <v>0</v>
      </c>
      <c r="K59">
        <f>IF(COUNTIFS(Sessions!$B:$B,A59,Sessions!$E:$E,G59+1)&gt;0,1,0)</f>
        <v>0</v>
      </c>
      <c r="L59">
        <f>IF(COUNTIFS(Sessions!$B:$B,A59,Sessions!$E:$E,G59+3)&gt;0,1,0)</f>
        <v>0</v>
      </c>
      <c r="M59">
        <f>IF(COUNTIFS(Sessions!$B:$B,A59,Sessions!$E:$E,G59+7)&gt;0,1,0)</f>
        <v>0</v>
      </c>
      <c r="N59" t="str">
        <f t="shared" si="7"/>
        <v>B (&gt;=0.5)</v>
      </c>
      <c r="O59" t="str">
        <f t="shared" si="8"/>
        <v>25-44</v>
      </c>
      <c r="P59" t="str">
        <f t="shared" si="9"/>
        <v>Jan-May</v>
      </c>
      <c r="Q59" s="10">
        <f>IF(COUNTIFS(Sessions!$B:$B,A59,Sessions!$E:$E,G59+$R$2)&gt;0,1,0)</f>
        <v>0</v>
      </c>
    </row>
    <row r="60" spans="1:17" x14ac:dyDescent="0.3">
      <c r="A60">
        <v>65</v>
      </c>
      <c r="B60" t="s">
        <v>82</v>
      </c>
      <c r="C60" t="s">
        <v>22</v>
      </c>
      <c r="D60">
        <v>95</v>
      </c>
      <c r="E60">
        <v>0.16328799999999999</v>
      </c>
      <c r="F60" s="2">
        <v>44919.944097222222</v>
      </c>
      <c r="G60" s="3">
        <f t="shared" si="5"/>
        <v>44919</v>
      </c>
      <c r="H60">
        <f>COUNTIF(Sessions!$B:$B,A60)</f>
        <v>10</v>
      </c>
      <c r="I60" s="5">
        <f>SUMIFS(Purchases!$E:$E,Purchases!$F:$F,A60)</f>
        <v>0</v>
      </c>
      <c r="J60">
        <f t="shared" si="6"/>
        <v>0</v>
      </c>
      <c r="K60">
        <f>IF(COUNTIFS(Sessions!$B:$B,A60,Sessions!$E:$E,G60+1)&gt;0,1,0)</f>
        <v>1</v>
      </c>
      <c r="L60">
        <f>IF(COUNTIFS(Sessions!$B:$B,A60,Sessions!$E:$E,G60+3)&gt;0,1,0)</f>
        <v>0</v>
      </c>
      <c r="M60">
        <f>IF(COUNTIFS(Sessions!$B:$B,A60,Sessions!$E:$E,G60+7)&gt;0,1,0)</f>
        <v>0</v>
      </c>
      <c r="N60" t="str">
        <f t="shared" si="7"/>
        <v>A (&lt;0.5)</v>
      </c>
      <c r="O60" t="str">
        <f t="shared" si="8"/>
        <v>65+</v>
      </c>
      <c r="P60" t="str">
        <f t="shared" si="9"/>
        <v>Jun-Dec</v>
      </c>
      <c r="Q60" s="10">
        <f>IF(COUNTIFS(Sessions!$B:$B,A60,Sessions!$E:$E,G60+$R$2)&gt;0,1,0)</f>
        <v>1</v>
      </c>
    </row>
    <row r="61" spans="1:17" x14ac:dyDescent="0.3">
      <c r="A61">
        <v>66</v>
      </c>
      <c r="B61" t="s">
        <v>83</v>
      </c>
      <c r="C61" t="s">
        <v>26</v>
      </c>
      <c r="D61">
        <v>17</v>
      </c>
      <c r="E61">
        <v>0.68044700000000002</v>
      </c>
      <c r="F61" s="2">
        <v>44718.475787037038</v>
      </c>
      <c r="G61" s="3">
        <f t="shared" si="5"/>
        <v>44718</v>
      </c>
      <c r="H61">
        <f>COUNTIF(Sessions!$B:$B,A61)</f>
        <v>11</v>
      </c>
      <c r="I61" s="5">
        <f>SUMIFS(Purchases!$E:$E,Purchases!$F:$F,A61)</f>
        <v>0.99</v>
      </c>
      <c r="J61">
        <f t="shared" si="6"/>
        <v>1</v>
      </c>
      <c r="K61">
        <f>IF(COUNTIFS(Sessions!$B:$B,A61,Sessions!$E:$E,G61+1)&gt;0,1,0)</f>
        <v>1</v>
      </c>
      <c r="L61">
        <f>IF(COUNTIFS(Sessions!$B:$B,A61,Sessions!$E:$E,G61+3)&gt;0,1,0)</f>
        <v>0</v>
      </c>
      <c r="M61">
        <f>IF(COUNTIFS(Sessions!$B:$B,A61,Sessions!$E:$E,G61+7)&gt;0,1,0)</f>
        <v>0</v>
      </c>
      <c r="N61" t="str">
        <f t="shared" si="7"/>
        <v>B (&gt;=0.5)</v>
      </c>
      <c r="O61" t="str">
        <f t="shared" si="8"/>
        <v>12-24</v>
      </c>
      <c r="P61" t="str">
        <f t="shared" si="9"/>
        <v>Jun-Dec</v>
      </c>
      <c r="Q61" s="10">
        <f>IF(COUNTIFS(Sessions!$B:$B,A61,Sessions!$E:$E,G61+$R$2)&gt;0,1,0)</f>
        <v>1</v>
      </c>
    </row>
    <row r="62" spans="1:17" x14ac:dyDescent="0.3">
      <c r="A62">
        <v>67</v>
      </c>
      <c r="B62" t="s">
        <v>84</v>
      </c>
      <c r="C62" t="s">
        <v>26</v>
      </c>
      <c r="D62">
        <v>94</v>
      </c>
      <c r="E62">
        <v>0.88751000000000002</v>
      </c>
      <c r="F62" s="2">
        <v>44738.994513888887</v>
      </c>
      <c r="G62" s="3">
        <f t="shared" si="5"/>
        <v>44738</v>
      </c>
      <c r="H62">
        <f>COUNTIF(Sessions!$B:$B,A62)</f>
        <v>45</v>
      </c>
      <c r="I62" s="5">
        <f>SUMIFS(Purchases!$E:$E,Purchases!$F:$F,A62)</f>
        <v>22.930000000000003</v>
      </c>
      <c r="J62">
        <f t="shared" si="6"/>
        <v>1</v>
      </c>
      <c r="K62">
        <f>IF(COUNTIFS(Sessions!$B:$B,A62,Sessions!$E:$E,G62+1)&gt;0,1,0)</f>
        <v>1</v>
      </c>
      <c r="L62">
        <f>IF(COUNTIFS(Sessions!$B:$B,A62,Sessions!$E:$E,G62+3)&gt;0,1,0)</f>
        <v>1</v>
      </c>
      <c r="M62">
        <f>IF(COUNTIFS(Sessions!$B:$B,A62,Sessions!$E:$E,G62+7)&gt;0,1,0)</f>
        <v>1</v>
      </c>
      <c r="N62" t="str">
        <f t="shared" si="7"/>
        <v>B (&gt;=0.5)</v>
      </c>
      <c r="O62" t="str">
        <f t="shared" si="8"/>
        <v>65+</v>
      </c>
      <c r="P62" t="str">
        <f t="shared" si="9"/>
        <v>Jun-Dec</v>
      </c>
      <c r="Q62" s="10">
        <f>IF(COUNTIFS(Sessions!$B:$B,A62,Sessions!$E:$E,G62+$R$2)&gt;0,1,0)</f>
        <v>1</v>
      </c>
    </row>
    <row r="63" spans="1:17" x14ac:dyDescent="0.3">
      <c r="A63">
        <v>68</v>
      </c>
      <c r="B63" t="s">
        <v>85</v>
      </c>
      <c r="C63" t="s">
        <v>22</v>
      </c>
      <c r="D63">
        <v>61</v>
      </c>
      <c r="E63">
        <v>0.88899700000000004</v>
      </c>
      <c r="F63" s="2">
        <v>44622.422037037039</v>
      </c>
      <c r="G63" s="3">
        <f t="shared" si="5"/>
        <v>44622</v>
      </c>
      <c r="H63">
        <f>COUNTIF(Sessions!$B:$B,A63)</f>
        <v>7</v>
      </c>
      <c r="I63" s="5">
        <f>SUMIFS(Purchases!$E:$E,Purchases!$F:$F,A63)</f>
        <v>0</v>
      </c>
      <c r="J63">
        <f t="shared" si="6"/>
        <v>0</v>
      </c>
      <c r="K63">
        <f>IF(COUNTIFS(Sessions!$B:$B,A63,Sessions!$E:$E,G63+1)&gt;0,1,0)</f>
        <v>1</v>
      </c>
      <c r="L63">
        <f>IF(COUNTIFS(Sessions!$B:$B,A63,Sessions!$E:$E,G63+3)&gt;0,1,0)</f>
        <v>0</v>
      </c>
      <c r="M63">
        <f>IF(COUNTIFS(Sessions!$B:$B,A63,Sessions!$E:$E,G63+7)&gt;0,1,0)</f>
        <v>0</v>
      </c>
      <c r="N63" t="str">
        <f t="shared" si="7"/>
        <v>B (&gt;=0.5)</v>
      </c>
      <c r="O63" t="str">
        <f t="shared" si="8"/>
        <v>45-64</v>
      </c>
      <c r="P63" t="str">
        <f t="shared" si="9"/>
        <v>Jan-May</v>
      </c>
      <c r="Q63" s="10">
        <f>IF(COUNTIFS(Sessions!$B:$B,A63,Sessions!$E:$E,G63+$R$2)&gt;0,1,0)</f>
        <v>1</v>
      </c>
    </row>
    <row r="64" spans="1:17" x14ac:dyDescent="0.3">
      <c r="A64">
        <v>69</v>
      </c>
      <c r="B64" t="s">
        <v>86</v>
      </c>
      <c r="C64" t="s">
        <v>22</v>
      </c>
      <c r="D64">
        <v>30</v>
      </c>
      <c r="E64">
        <v>0.79525800000000002</v>
      </c>
      <c r="F64" s="2">
        <v>44891.872708333336</v>
      </c>
      <c r="G64" s="3">
        <f t="shared" si="5"/>
        <v>44891</v>
      </c>
      <c r="H64">
        <f>COUNTIF(Sessions!$B:$B,A64)</f>
        <v>25</v>
      </c>
      <c r="I64" s="5">
        <f>SUMIFS(Purchases!$E:$E,Purchases!$F:$F,A64)</f>
        <v>11.97</v>
      </c>
      <c r="J64">
        <f t="shared" si="6"/>
        <v>1</v>
      </c>
      <c r="K64">
        <f>IF(COUNTIFS(Sessions!$B:$B,A64,Sessions!$E:$E,G64+1)&gt;0,1,0)</f>
        <v>1</v>
      </c>
      <c r="L64">
        <f>IF(COUNTIFS(Sessions!$B:$B,A64,Sessions!$E:$E,G64+3)&gt;0,1,0)</f>
        <v>1</v>
      </c>
      <c r="M64">
        <f>IF(COUNTIFS(Sessions!$B:$B,A64,Sessions!$E:$E,G64+7)&gt;0,1,0)</f>
        <v>0</v>
      </c>
      <c r="N64" t="str">
        <f t="shared" si="7"/>
        <v>B (&gt;=0.5)</v>
      </c>
      <c r="O64" t="str">
        <f t="shared" si="8"/>
        <v>25-44</v>
      </c>
      <c r="P64" t="str">
        <f t="shared" si="9"/>
        <v>Jun-Dec</v>
      </c>
      <c r="Q64" s="10">
        <f>IF(COUNTIFS(Sessions!$B:$B,A64,Sessions!$E:$E,G64+$R$2)&gt;0,1,0)</f>
        <v>1</v>
      </c>
    </row>
    <row r="65" spans="1:17" x14ac:dyDescent="0.3">
      <c r="A65">
        <v>70</v>
      </c>
      <c r="B65" t="s">
        <v>87</v>
      </c>
      <c r="C65" t="s">
        <v>28</v>
      </c>
      <c r="D65">
        <v>93</v>
      </c>
      <c r="E65">
        <v>0.72514999999999996</v>
      </c>
      <c r="F65" s="2">
        <v>44908.75409722222</v>
      </c>
      <c r="G65" s="3">
        <f t="shared" si="5"/>
        <v>44908</v>
      </c>
      <c r="H65">
        <f>COUNTIF(Sessions!$B:$B,A65)</f>
        <v>6</v>
      </c>
      <c r="I65" s="5">
        <f>SUMIFS(Purchases!$E:$E,Purchases!$F:$F,A65)</f>
        <v>0</v>
      </c>
      <c r="J65">
        <f t="shared" si="6"/>
        <v>0</v>
      </c>
      <c r="K65">
        <f>IF(COUNTIFS(Sessions!$B:$B,A65,Sessions!$E:$E,G65+1)&gt;0,1,0)</f>
        <v>1</v>
      </c>
      <c r="L65">
        <f>IF(COUNTIFS(Sessions!$B:$B,A65,Sessions!$E:$E,G65+3)&gt;0,1,0)</f>
        <v>0</v>
      </c>
      <c r="M65">
        <f>IF(COUNTIFS(Sessions!$B:$B,A65,Sessions!$E:$E,G65+7)&gt;0,1,0)</f>
        <v>0</v>
      </c>
      <c r="N65" t="str">
        <f t="shared" si="7"/>
        <v>B (&gt;=0.5)</v>
      </c>
      <c r="O65" t="str">
        <f t="shared" si="8"/>
        <v>65+</v>
      </c>
      <c r="P65" t="str">
        <f t="shared" si="9"/>
        <v>Jun-Dec</v>
      </c>
      <c r="Q65" s="10">
        <f>IF(COUNTIFS(Sessions!$B:$B,A65,Sessions!$E:$E,G65+$R$2)&gt;0,1,0)</f>
        <v>1</v>
      </c>
    </row>
    <row r="66" spans="1:17" x14ac:dyDescent="0.3">
      <c r="A66">
        <v>71</v>
      </c>
      <c r="B66" t="s">
        <v>88</v>
      </c>
      <c r="C66" t="s">
        <v>19</v>
      </c>
      <c r="D66">
        <v>93</v>
      </c>
      <c r="E66">
        <v>0.98740000000000006</v>
      </c>
      <c r="F66" s="2">
        <v>44744.706331018519</v>
      </c>
      <c r="G66" s="3">
        <f t="shared" ref="G66:G97" si="10">INT(F66)</f>
        <v>44744</v>
      </c>
      <c r="H66">
        <f>COUNTIF(Sessions!$B:$B,A66)</f>
        <v>15</v>
      </c>
      <c r="I66" s="5">
        <f>SUMIFS(Purchases!$E:$E,Purchases!$F:$F,A66)</f>
        <v>0</v>
      </c>
      <c r="J66">
        <f t="shared" ref="J66:J97" si="11">IF(I66&gt;0,1,0)</f>
        <v>0</v>
      </c>
      <c r="K66">
        <f>IF(COUNTIFS(Sessions!$B:$B,A66,Sessions!$E:$E,G66+1)&gt;0,1,0)</f>
        <v>1</v>
      </c>
      <c r="L66">
        <f>IF(COUNTIFS(Sessions!$B:$B,A66,Sessions!$E:$E,G66+3)&gt;0,1,0)</f>
        <v>1</v>
      </c>
      <c r="M66">
        <f>IF(COUNTIFS(Sessions!$B:$B,A66,Sessions!$E:$E,G66+7)&gt;0,1,0)</f>
        <v>0</v>
      </c>
      <c r="N66" t="str">
        <f t="shared" ref="N66:N101" si="12">IF(E66&lt;0.5,"A (&lt;0.5)","B (&gt;=0.5)")</f>
        <v>B (&gt;=0.5)</v>
      </c>
      <c r="O66" t="str">
        <f t="shared" ref="O66:O101" si="13">IF(D66&lt;=24,"12-24",IF(D66&lt;=44,"25-44",IF(D66&lt;=64,"45-64","65+")))</f>
        <v>65+</v>
      </c>
      <c r="P66" t="str">
        <f t="shared" ref="P66:P101" si="14">IF(MONTH(F66)&lt;6,"Jan-May","Jun-Dec")</f>
        <v>Jun-Dec</v>
      </c>
      <c r="Q66" s="10">
        <f>IF(COUNTIFS(Sessions!$B:$B,A66,Sessions!$E:$E,G66+$R$2)&gt;0,1,0)</f>
        <v>1</v>
      </c>
    </row>
    <row r="67" spans="1:17" x14ac:dyDescent="0.3">
      <c r="A67">
        <v>72</v>
      </c>
      <c r="B67" t="s">
        <v>89</v>
      </c>
      <c r="C67" t="s">
        <v>22</v>
      </c>
      <c r="D67">
        <v>39</v>
      </c>
      <c r="E67">
        <v>0.90883700000000001</v>
      </c>
      <c r="F67" s="2">
        <v>44582.972719907404</v>
      </c>
      <c r="G67" s="3">
        <f t="shared" si="10"/>
        <v>44582</v>
      </c>
      <c r="H67">
        <f>COUNTIF(Sessions!$B:$B,A67)</f>
        <v>1</v>
      </c>
      <c r="I67" s="5">
        <f>SUMIFS(Purchases!$E:$E,Purchases!$F:$F,A67)</f>
        <v>0</v>
      </c>
      <c r="J67">
        <f t="shared" si="11"/>
        <v>0</v>
      </c>
      <c r="K67">
        <f>IF(COUNTIFS(Sessions!$B:$B,A67,Sessions!$E:$E,G67+1)&gt;0,1,0)</f>
        <v>0</v>
      </c>
      <c r="L67">
        <f>IF(COUNTIFS(Sessions!$B:$B,A67,Sessions!$E:$E,G67+3)&gt;0,1,0)</f>
        <v>0</v>
      </c>
      <c r="M67">
        <f>IF(COUNTIFS(Sessions!$B:$B,A67,Sessions!$E:$E,G67+7)&gt;0,1,0)</f>
        <v>0</v>
      </c>
      <c r="N67" t="str">
        <f t="shared" si="12"/>
        <v>B (&gt;=0.5)</v>
      </c>
      <c r="O67" t="str">
        <f t="shared" si="13"/>
        <v>25-44</v>
      </c>
      <c r="P67" t="str">
        <f t="shared" si="14"/>
        <v>Jan-May</v>
      </c>
      <c r="Q67" s="10">
        <f>IF(COUNTIFS(Sessions!$B:$B,A67,Sessions!$E:$E,G67+$R$2)&gt;0,1,0)</f>
        <v>0</v>
      </c>
    </row>
    <row r="68" spans="1:17" x14ac:dyDescent="0.3">
      <c r="A68">
        <v>73</v>
      </c>
      <c r="B68" t="s">
        <v>90</v>
      </c>
      <c r="C68" t="s">
        <v>28</v>
      </c>
      <c r="D68">
        <v>71</v>
      </c>
      <c r="E68">
        <v>0.68190899999999999</v>
      </c>
      <c r="F68" s="2">
        <v>44898.213043981479</v>
      </c>
      <c r="G68" s="3">
        <f t="shared" si="10"/>
        <v>44898</v>
      </c>
      <c r="H68">
        <f>COUNTIF(Sessions!$B:$B,A68)</f>
        <v>39</v>
      </c>
      <c r="I68" s="5">
        <f>SUMIFS(Purchases!$E:$E,Purchases!$F:$F,A68)</f>
        <v>10.950000000000001</v>
      </c>
      <c r="J68">
        <f t="shared" si="11"/>
        <v>1</v>
      </c>
      <c r="K68">
        <f>IF(COUNTIFS(Sessions!$B:$B,A68,Sessions!$E:$E,G68+1)&gt;0,1,0)</f>
        <v>1</v>
      </c>
      <c r="L68">
        <f>IF(COUNTIFS(Sessions!$B:$B,A68,Sessions!$E:$E,G68+3)&gt;0,1,0)</f>
        <v>1</v>
      </c>
      <c r="M68">
        <f>IF(COUNTIFS(Sessions!$B:$B,A68,Sessions!$E:$E,G68+7)&gt;0,1,0)</f>
        <v>1</v>
      </c>
      <c r="N68" t="str">
        <f t="shared" si="12"/>
        <v>B (&gt;=0.5)</v>
      </c>
      <c r="O68" t="str">
        <f t="shared" si="13"/>
        <v>65+</v>
      </c>
      <c r="P68" t="str">
        <f t="shared" si="14"/>
        <v>Jun-Dec</v>
      </c>
      <c r="Q68" s="10">
        <f>IF(COUNTIFS(Sessions!$B:$B,A68,Sessions!$E:$E,G68+$R$2)&gt;0,1,0)</f>
        <v>1</v>
      </c>
    </row>
    <row r="69" spans="1:17" x14ac:dyDescent="0.3">
      <c r="A69">
        <v>74</v>
      </c>
      <c r="B69" t="s">
        <v>91</v>
      </c>
      <c r="C69" t="s">
        <v>26</v>
      </c>
      <c r="D69">
        <v>49</v>
      </c>
      <c r="E69">
        <v>0.10670200000000001</v>
      </c>
      <c r="F69" s="2">
        <v>44765.646863425929</v>
      </c>
      <c r="G69" s="3">
        <f t="shared" si="10"/>
        <v>44765</v>
      </c>
      <c r="H69">
        <f>COUNTIF(Sessions!$B:$B,A69)</f>
        <v>62</v>
      </c>
      <c r="I69" s="5">
        <f>SUMIFS(Purchases!$E:$E,Purchases!$F:$F,A69)</f>
        <v>16.93</v>
      </c>
      <c r="J69">
        <f t="shared" si="11"/>
        <v>1</v>
      </c>
      <c r="K69">
        <f>IF(COUNTIFS(Sessions!$B:$B,A69,Sessions!$E:$E,G69+1)&gt;0,1,0)</f>
        <v>1</v>
      </c>
      <c r="L69">
        <f>IF(COUNTIFS(Sessions!$B:$B,A69,Sessions!$E:$E,G69+3)&gt;0,1,0)</f>
        <v>1</v>
      </c>
      <c r="M69">
        <f>IF(COUNTIFS(Sessions!$B:$B,A69,Sessions!$E:$E,G69+7)&gt;0,1,0)</f>
        <v>1</v>
      </c>
      <c r="N69" t="str">
        <f t="shared" si="12"/>
        <v>A (&lt;0.5)</v>
      </c>
      <c r="O69" t="str">
        <f t="shared" si="13"/>
        <v>45-64</v>
      </c>
      <c r="P69" t="str">
        <f t="shared" si="14"/>
        <v>Jun-Dec</v>
      </c>
      <c r="Q69" s="10">
        <f>IF(COUNTIFS(Sessions!$B:$B,A69,Sessions!$E:$E,G69+$R$2)&gt;0,1,0)</f>
        <v>1</v>
      </c>
    </row>
    <row r="70" spans="1:17" x14ac:dyDescent="0.3">
      <c r="A70">
        <v>75</v>
      </c>
      <c r="B70" t="s">
        <v>92</v>
      </c>
      <c r="C70" t="s">
        <v>19</v>
      </c>
      <c r="D70">
        <v>15</v>
      </c>
      <c r="E70">
        <v>0.77051599999999998</v>
      </c>
      <c r="F70" s="2">
        <v>44674.904953703706</v>
      </c>
      <c r="G70" s="3">
        <f t="shared" si="10"/>
        <v>44674</v>
      </c>
      <c r="H70">
        <f>COUNTIF(Sessions!$B:$B,A70)</f>
        <v>1</v>
      </c>
      <c r="I70" s="5">
        <f>SUMIFS(Purchases!$E:$E,Purchases!$F:$F,A70)</f>
        <v>0</v>
      </c>
      <c r="J70">
        <f t="shared" si="11"/>
        <v>0</v>
      </c>
      <c r="K70">
        <f>IF(COUNTIFS(Sessions!$B:$B,A70,Sessions!$E:$E,G70+1)&gt;0,1,0)</f>
        <v>0</v>
      </c>
      <c r="L70">
        <f>IF(COUNTIFS(Sessions!$B:$B,A70,Sessions!$E:$E,G70+3)&gt;0,1,0)</f>
        <v>0</v>
      </c>
      <c r="M70">
        <f>IF(COUNTIFS(Sessions!$B:$B,A70,Sessions!$E:$E,G70+7)&gt;0,1,0)</f>
        <v>0</v>
      </c>
      <c r="N70" t="str">
        <f t="shared" si="12"/>
        <v>B (&gt;=0.5)</v>
      </c>
      <c r="O70" t="str">
        <f t="shared" si="13"/>
        <v>12-24</v>
      </c>
      <c r="P70" t="str">
        <f t="shared" si="14"/>
        <v>Jan-May</v>
      </c>
      <c r="Q70" s="10">
        <f>IF(COUNTIFS(Sessions!$B:$B,A70,Sessions!$E:$E,G70+$R$2)&gt;0,1,0)</f>
        <v>0</v>
      </c>
    </row>
    <row r="71" spans="1:17" x14ac:dyDescent="0.3">
      <c r="A71">
        <v>76</v>
      </c>
      <c r="B71" t="s">
        <v>93</v>
      </c>
      <c r="C71" t="s">
        <v>22</v>
      </c>
      <c r="D71">
        <v>36</v>
      </c>
      <c r="E71">
        <v>0.28464299999999998</v>
      </c>
      <c r="F71" s="2">
        <v>44906.959803240738</v>
      </c>
      <c r="G71" s="3">
        <f t="shared" si="10"/>
        <v>44906</v>
      </c>
      <c r="H71">
        <f>COUNTIF(Sessions!$B:$B,A71)</f>
        <v>22</v>
      </c>
      <c r="I71" s="5">
        <f>SUMIFS(Purchases!$E:$E,Purchases!$F:$F,A71)</f>
        <v>4.99</v>
      </c>
      <c r="J71">
        <f t="shared" si="11"/>
        <v>1</v>
      </c>
      <c r="K71">
        <f>IF(COUNTIFS(Sessions!$B:$B,A71,Sessions!$E:$E,G71+1)&gt;0,1,0)</f>
        <v>1</v>
      </c>
      <c r="L71">
        <f>IF(COUNTIFS(Sessions!$B:$B,A71,Sessions!$E:$E,G71+3)&gt;0,1,0)</f>
        <v>1</v>
      </c>
      <c r="M71">
        <f>IF(COUNTIFS(Sessions!$B:$B,A71,Sessions!$E:$E,G71+7)&gt;0,1,0)</f>
        <v>0</v>
      </c>
      <c r="N71" t="str">
        <f t="shared" si="12"/>
        <v>A (&lt;0.5)</v>
      </c>
      <c r="O71" t="str">
        <f t="shared" si="13"/>
        <v>25-44</v>
      </c>
      <c r="P71" t="str">
        <f t="shared" si="14"/>
        <v>Jun-Dec</v>
      </c>
      <c r="Q71" s="10">
        <f>IF(COUNTIFS(Sessions!$B:$B,A71,Sessions!$E:$E,G71+$R$2)&gt;0,1,0)</f>
        <v>1</v>
      </c>
    </row>
    <row r="72" spans="1:17" x14ac:dyDescent="0.3">
      <c r="A72">
        <v>77</v>
      </c>
      <c r="B72" t="s">
        <v>94</v>
      </c>
      <c r="C72" t="s">
        <v>22</v>
      </c>
      <c r="D72">
        <v>89</v>
      </c>
      <c r="E72">
        <v>0.73299700000000001</v>
      </c>
      <c r="F72" s="2">
        <v>44894.675358796296</v>
      </c>
      <c r="G72" s="3">
        <f t="shared" si="10"/>
        <v>44894</v>
      </c>
      <c r="H72">
        <f>COUNTIF(Sessions!$B:$B,A72)</f>
        <v>21</v>
      </c>
      <c r="I72" s="5">
        <f>SUMIFS(Purchases!$E:$E,Purchases!$F:$F,A72)</f>
        <v>14.98</v>
      </c>
      <c r="J72">
        <f t="shared" si="11"/>
        <v>1</v>
      </c>
      <c r="K72">
        <f>IF(COUNTIFS(Sessions!$B:$B,A72,Sessions!$E:$E,G72+1)&gt;0,1,0)</f>
        <v>1</v>
      </c>
      <c r="L72">
        <f>IF(COUNTIFS(Sessions!$B:$B,A72,Sessions!$E:$E,G72+3)&gt;0,1,0)</f>
        <v>1</v>
      </c>
      <c r="M72">
        <f>IF(COUNTIFS(Sessions!$B:$B,A72,Sessions!$E:$E,G72+7)&gt;0,1,0)</f>
        <v>0</v>
      </c>
      <c r="N72" t="str">
        <f t="shared" si="12"/>
        <v>B (&gt;=0.5)</v>
      </c>
      <c r="O72" t="str">
        <f t="shared" si="13"/>
        <v>65+</v>
      </c>
      <c r="P72" t="str">
        <f t="shared" si="14"/>
        <v>Jun-Dec</v>
      </c>
      <c r="Q72" s="10">
        <f>IF(COUNTIFS(Sessions!$B:$B,A72,Sessions!$E:$E,G72+$R$2)&gt;0,1,0)</f>
        <v>1</v>
      </c>
    </row>
    <row r="73" spans="1:17" x14ac:dyDescent="0.3">
      <c r="A73">
        <v>78</v>
      </c>
      <c r="B73" t="s">
        <v>95</v>
      </c>
      <c r="C73" t="s">
        <v>22</v>
      </c>
      <c r="D73">
        <v>15</v>
      </c>
      <c r="E73">
        <v>0.952044</v>
      </c>
      <c r="F73" s="2">
        <v>44724.183171296296</v>
      </c>
      <c r="G73" s="3">
        <f t="shared" si="10"/>
        <v>44724</v>
      </c>
      <c r="H73">
        <f>COUNTIF(Sessions!$B:$B,A73)</f>
        <v>14</v>
      </c>
      <c r="I73" s="5">
        <f>SUMIFS(Purchases!$E:$E,Purchases!$F:$F,A73)</f>
        <v>0</v>
      </c>
      <c r="J73">
        <f t="shared" si="11"/>
        <v>0</v>
      </c>
      <c r="K73">
        <f>IF(COUNTIFS(Sessions!$B:$B,A73,Sessions!$E:$E,G73+1)&gt;0,1,0)</f>
        <v>1</v>
      </c>
      <c r="L73">
        <f>IF(COUNTIFS(Sessions!$B:$B,A73,Sessions!$E:$E,G73+3)&gt;0,1,0)</f>
        <v>0</v>
      </c>
      <c r="M73">
        <f>IF(COUNTIFS(Sessions!$B:$B,A73,Sessions!$E:$E,G73+7)&gt;0,1,0)</f>
        <v>0</v>
      </c>
      <c r="N73" t="str">
        <f t="shared" si="12"/>
        <v>B (&gt;=0.5)</v>
      </c>
      <c r="O73" t="str">
        <f t="shared" si="13"/>
        <v>12-24</v>
      </c>
      <c r="P73" t="str">
        <f t="shared" si="14"/>
        <v>Jun-Dec</v>
      </c>
      <c r="Q73" s="10">
        <f>IF(COUNTIFS(Sessions!$B:$B,A73,Sessions!$E:$E,G73+$R$2)&gt;0,1,0)</f>
        <v>1</v>
      </c>
    </row>
    <row r="74" spans="1:17" x14ac:dyDescent="0.3">
      <c r="A74">
        <v>79</v>
      </c>
      <c r="B74" t="s">
        <v>96</v>
      </c>
      <c r="C74" t="s">
        <v>24</v>
      </c>
      <c r="D74">
        <v>20</v>
      </c>
      <c r="E74">
        <v>0.25578299999999998</v>
      </c>
      <c r="F74" s="2">
        <v>44811.306666666664</v>
      </c>
      <c r="G74" s="3">
        <f t="shared" si="10"/>
        <v>44811</v>
      </c>
      <c r="H74">
        <f>COUNTIF(Sessions!$B:$B,A74)</f>
        <v>10</v>
      </c>
      <c r="I74" s="5">
        <f>SUMIFS(Purchases!$E:$E,Purchases!$F:$F,A74)</f>
        <v>0</v>
      </c>
      <c r="J74">
        <f t="shared" si="11"/>
        <v>0</v>
      </c>
      <c r="K74">
        <f>IF(COUNTIFS(Sessions!$B:$B,A74,Sessions!$E:$E,G74+1)&gt;0,1,0)</f>
        <v>1</v>
      </c>
      <c r="L74">
        <f>IF(COUNTIFS(Sessions!$B:$B,A74,Sessions!$E:$E,G74+3)&gt;0,1,0)</f>
        <v>0</v>
      </c>
      <c r="M74">
        <f>IF(COUNTIFS(Sessions!$B:$B,A74,Sessions!$E:$E,G74+7)&gt;0,1,0)</f>
        <v>0</v>
      </c>
      <c r="N74" t="str">
        <f t="shared" si="12"/>
        <v>A (&lt;0.5)</v>
      </c>
      <c r="O74" t="str">
        <f t="shared" si="13"/>
        <v>12-24</v>
      </c>
      <c r="P74" t="str">
        <f t="shared" si="14"/>
        <v>Jun-Dec</v>
      </c>
      <c r="Q74" s="10">
        <f>IF(COUNTIFS(Sessions!$B:$B,A74,Sessions!$E:$E,G74+$R$2)&gt;0,1,0)</f>
        <v>1</v>
      </c>
    </row>
    <row r="75" spans="1:17" x14ac:dyDescent="0.3">
      <c r="A75">
        <v>80</v>
      </c>
      <c r="B75" t="s">
        <v>97</v>
      </c>
      <c r="C75" t="s">
        <v>24</v>
      </c>
      <c r="D75">
        <v>67</v>
      </c>
      <c r="E75">
        <v>0.28858400000000001</v>
      </c>
      <c r="F75" s="2">
        <v>44758.457777777781</v>
      </c>
      <c r="G75" s="3">
        <f t="shared" si="10"/>
        <v>44758</v>
      </c>
      <c r="H75">
        <f>COUNTIF(Sessions!$B:$B,A75)</f>
        <v>5</v>
      </c>
      <c r="I75" s="5">
        <f>SUMIFS(Purchases!$E:$E,Purchases!$F:$F,A75)</f>
        <v>2.99</v>
      </c>
      <c r="J75">
        <f t="shared" si="11"/>
        <v>1</v>
      </c>
      <c r="K75">
        <f>IF(COUNTIFS(Sessions!$B:$B,A75,Sessions!$E:$E,G75+1)&gt;0,1,0)</f>
        <v>1</v>
      </c>
      <c r="L75">
        <f>IF(COUNTIFS(Sessions!$B:$B,A75,Sessions!$E:$E,G75+3)&gt;0,1,0)</f>
        <v>0</v>
      </c>
      <c r="M75">
        <f>IF(COUNTIFS(Sessions!$B:$B,A75,Sessions!$E:$E,G75+7)&gt;0,1,0)</f>
        <v>0</v>
      </c>
      <c r="N75" t="str">
        <f t="shared" si="12"/>
        <v>A (&lt;0.5)</v>
      </c>
      <c r="O75" t="str">
        <f t="shared" si="13"/>
        <v>65+</v>
      </c>
      <c r="P75" t="str">
        <f t="shared" si="14"/>
        <v>Jun-Dec</v>
      </c>
      <c r="Q75" s="10">
        <f>IF(COUNTIFS(Sessions!$B:$B,A75,Sessions!$E:$E,G75+$R$2)&gt;0,1,0)</f>
        <v>1</v>
      </c>
    </row>
    <row r="76" spans="1:17" x14ac:dyDescent="0.3">
      <c r="A76">
        <v>81</v>
      </c>
      <c r="B76" t="s">
        <v>98</v>
      </c>
      <c r="C76" t="s">
        <v>26</v>
      </c>
      <c r="D76">
        <v>85</v>
      </c>
      <c r="E76">
        <v>0.18199000000000001</v>
      </c>
      <c r="F76" s="2">
        <v>44791.239745370367</v>
      </c>
      <c r="G76" s="3">
        <f t="shared" si="10"/>
        <v>44791</v>
      </c>
      <c r="H76">
        <f>COUNTIF(Sessions!$B:$B,A76)</f>
        <v>11</v>
      </c>
      <c r="I76" s="5">
        <f>SUMIFS(Purchases!$E:$E,Purchases!$F:$F,A76)</f>
        <v>10.98</v>
      </c>
      <c r="J76">
        <f t="shared" si="11"/>
        <v>1</v>
      </c>
      <c r="K76">
        <f>IF(COUNTIFS(Sessions!$B:$B,A76,Sessions!$E:$E,G76+1)&gt;0,1,0)</f>
        <v>1</v>
      </c>
      <c r="L76">
        <f>IF(COUNTIFS(Sessions!$B:$B,A76,Sessions!$E:$E,G76+3)&gt;0,1,0)</f>
        <v>0</v>
      </c>
      <c r="M76">
        <f>IF(COUNTIFS(Sessions!$B:$B,A76,Sessions!$E:$E,G76+7)&gt;0,1,0)</f>
        <v>0</v>
      </c>
      <c r="N76" t="str">
        <f t="shared" si="12"/>
        <v>A (&lt;0.5)</v>
      </c>
      <c r="O76" t="str">
        <f t="shared" si="13"/>
        <v>65+</v>
      </c>
      <c r="P76" t="str">
        <f t="shared" si="14"/>
        <v>Jun-Dec</v>
      </c>
      <c r="Q76" s="10">
        <f>IF(COUNTIFS(Sessions!$B:$B,A76,Sessions!$E:$E,G76+$R$2)&gt;0,1,0)</f>
        <v>1</v>
      </c>
    </row>
    <row r="77" spans="1:17" x14ac:dyDescent="0.3">
      <c r="A77">
        <v>82</v>
      </c>
      <c r="B77" t="s">
        <v>99</v>
      </c>
      <c r="C77" t="s">
        <v>26</v>
      </c>
      <c r="D77">
        <v>77</v>
      </c>
      <c r="E77">
        <v>0.82649499999999998</v>
      </c>
      <c r="F77" s="2">
        <v>44878.897534722222</v>
      </c>
      <c r="G77" s="3">
        <f t="shared" si="10"/>
        <v>44878</v>
      </c>
      <c r="H77">
        <f>COUNTIF(Sessions!$B:$B,A77)</f>
        <v>52</v>
      </c>
      <c r="I77" s="5">
        <f>SUMIFS(Purchases!$E:$E,Purchases!$F:$F,A77)</f>
        <v>9.9600000000000009</v>
      </c>
      <c r="J77">
        <f t="shared" si="11"/>
        <v>1</v>
      </c>
      <c r="K77">
        <f>IF(COUNTIFS(Sessions!$B:$B,A77,Sessions!$E:$E,G77+1)&gt;0,1,0)</f>
        <v>1</v>
      </c>
      <c r="L77">
        <f>IF(COUNTIFS(Sessions!$B:$B,A77,Sessions!$E:$E,G77+3)&gt;0,1,0)</f>
        <v>1</v>
      </c>
      <c r="M77">
        <f>IF(COUNTIFS(Sessions!$B:$B,A77,Sessions!$E:$E,G77+7)&gt;0,1,0)</f>
        <v>1</v>
      </c>
      <c r="N77" t="str">
        <f t="shared" si="12"/>
        <v>B (&gt;=0.5)</v>
      </c>
      <c r="O77" t="str">
        <f t="shared" si="13"/>
        <v>65+</v>
      </c>
      <c r="P77" t="str">
        <f t="shared" si="14"/>
        <v>Jun-Dec</v>
      </c>
      <c r="Q77" s="10">
        <f>IF(COUNTIFS(Sessions!$B:$B,A77,Sessions!$E:$E,G77+$R$2)&gt;0,1,0)</f>
        <v>1</v>
      </c>
    </row>
    <row r="78" spans="1:17" x14ac:dyDescent="0.3">
      <c r="A78">
        <v>83</v>
      </c>
      <c r="B78" t="s">
        <v>100</v>
      </c>
      <c r="C78" t="s">
        <v>19</v>
      </c>
      <c r="D78">
        <v>21</v>
      </c>
      <c r="E78">
        <v>0.31164199999999997</v>
      </c>
      <c r="F78" s="2">
        <v>44675.323009259257</v>
      </c>
      <c r="G78" s="3">
        <f t="shared" si="10"/>
        <v>44675</v>
      </c>
      <c r="H78">
        <f>COUNTIF(Sessions!$B:$B,A78)</f>
        <v>4</v>
      </c>
      <c r="I78" s="5">
        <f>SUMIFS(Purchases!$E:$E,Purchases!$F:$F,A78)</f>
        <v>4.99</v>
      </c>
      <c r="J78">
        <f t="shared" si="11"/>
        <v>1</v>
      </c>
      <c r="K78">
        <f>IF(COUNTIFS(Sessions!$B:$B,A78,Sessions!$E:$E,G78+1)&gt;0,1,0)</f>
        <v>1</v>
      </c>
      <c r="L78">
        <f>IF(COUNTIFS(Sessions!$B:$B,A78,Sessions!$E:$E,G78+3)&gt;0,1,0)</f>
        <v>0</v>
      </c>
      <c r="M78">
        <f>IF(COUNTIFS(Sessions!$B:$B,A78,Sessions!$E:$E,G78+7)&gt;0,1,0)</f>
        <v>0</v>
      </c>
      <c r="N78" t="str">
        <f t="shared" si="12"/>
        <v>A (&lt;0.5)</v>
      </c>
      <c r="O78" t="str">
        <f t="shared" si="13"/>
        <v>12-24</v>
      </c>
      <c r="P78" t="str">
        <f t="shared" si="14"/>
        <v>Jan-May</v>
      </c>
      <c r="Q78" s="10">
        <f>IF(COUNTIFS(Sessions!$B:$B,A78,Sessions!$E:$E,G78+$R$2)&gt;0,1,0)</f>
        <v>1</v>
      </c>
    </row>
    <row r="79" spans="1:17" x14ac:dyDescent="0.3">
      <c r="A79">
        <v>84</v>
      </c>
      <c r="B79" t="s">
        <v>101</v>
      </c>
      <c r="C79" t="s">
        <v>19</v>
      </c>
      <c r="D79">
        <v>57</v>
      </c>
      <c r="E79">
        <v>0.95081199999999999</v>
      </c>
      <c r="F79" s="2">
        <v>44750.706273148149</v>
      </c>
      <c r="G79" s="3">
        <f t="shared" si="10"/>
        <v>44750</v>
      </c>
      <c r="H79">
        <f>COUNTIF(Sessions!$B:$B,A79)</f>
        <v>7</v>
      </c>
      <c r="I79" s="5">
        <f>SUMIFS(Purchases!$E:$E,Purchases!$F:$F,A79)</f>
        <v>4.99</v>
      </c>
      <c r="J79">
        <f t="shared" si="11"/>
        <v>1</v>
      </c>
      <c r="K79">
        <f>IF(COUNTIFS(Sessions!$B:$B,A79,Sessions!$E:$E,G79+1)&gt;0,1,0)</f>
        <v>1</v>
      </c>
      <c r="L79">
        <f>IF(COUNTIFS(Sessions!$B:$B,A79,Sessions!$E:$E,G79+3)&gt;0,1,0)</f>
        <v>0</v>
      </c>
      <c r="M79">
        <f>IF(COUNTIFS(Sessions!$B:$B,A79,Sessions!$E:$E,G79+7)&gt;0,1,0)</f>
        <v>0</v>
      </c>
      <c r="N79" t="str">
        <f t="shared" si="12"/>
        <v>B (&gt;=0.5)</v>
      </c>
      <c r="O79" t="str">
        <f t="shared" si="13"/>
        <v>45-64</v>
      </c>
      <c r="P79" t="str">
        <f t="shared" si="14"/>
        <v>Jun-Dec</v>
      </c>
      <c r="Q79" s="10">
        <f>IF(COUNTIFS(Sessions!$B:$B,A79,Sessions!$E:$E,G79+$R$2)&gt;0,1,0)</f>
        <v>1</v>
      </c>
    </row>
    <row r="80" spans="1:17" x14ac:dyDescent="0.3">
      <c r="A80">
        <v>85</v>
      </c>
      <c r="B80" t="s">
        <v>102</v>
      </c>
      <c r="C80" t="s">
        <v>41</v>
      </c>
      <c r="D80">
        <v>68</v>
      </c>
      <c r="E80">
        <v>0.73733400000000004</v>
      </c>
      <c r="F80" s="2">
        <v>44702.079722222225</v>
      </c>
      <c r="G80" s="3">
        <f t="shared" si="10"/>
        <v>44702</v>
      </c>
      <c r="H80">
        <f>COUNTIF(Sessions!$B:$B,A80)</f>
        <v>12</v>
      </c>
      <c r="I80" s="5">
        <f>SUMIFS(Purchases!$E:$E,Purchases!$F:$F,A80)</f>
        <v>0.99</v>
      </c>
      <c r="J80">
        <f t="shared" si="11"/>
        <v>1</v>
      </c>
      <c r="K80">
        <f>IF(COUNTIFS(Sessions!$B:$B,A80,Sessions!$E:$E,G80+1)&gt;0,1,0)</f>
        <v>1</v>
      </c>
      <c r="L80">
        <f>IF(COUNTIFS(Sessions!$B:$B,A80,Sessions!$E:$E,G80+3)&gt;0,1,0)</f>
        <v>0</v>
      </c>
      <c r="M80">
        <f>IF(COUNTIFS(Sessions!$B:$B,A80,Sessions!$E:$E,G80+7)&gt;0,1,0)</f>
        <v>0</v>
      </c>
      <c r="N80" t="str">
        <f t="shared" si="12"/>
        <v>B (&gt;=0.5)</v>
      </c>
      <c r="O80" t="str">
        <f t="shared" si="13"/>
        <v>65+</v>
      </c>
      <c r="P80" t="str">
        <f t="shared" si="14"/>
        <v>Jan-May</v>
      </c>
      <c r="Q80" s="10">
        <f>IF(COUNTIFS(Sessions!$B:$B,A80,Sessions!$E:$E,G80+$R$2)&gt;0,1,0)</f>
        <v>1</v>
      </c>
    </row>
    <row r="81" spans="1:17" x14ac:dyDescent="0.3">
      <c r="A81">
        <v>86</v>
      </c>
      <c r="B81" t="s">
        <v>103</v>
      </c>
      <c r="C81" t="s">
        <v>28</v>
      </c>
      <c r="D81">
        <v>60</v>
      </c>
      <c r="E81">
        <v>0.28078599999999998</v>
      </c>
      <c r="F81" s="2">
        <v>44684.682291666664</v>
      </c>
      <c r="G81" s="3">
        <f t="shared" si="10"/>
        <v>44684</v>
      </c>
      <c r="H81">
        <f>COUNTIF(Sessions!$B:$B,A81)</f>
        <v>5</v>
      </c>
      <c r="I81" s="5">
        <f>SUMIFS(Purchases!$E:$E,Purchases!$F:$F,A81)</f>
        <v>0</v>
      </c>
      <c r="J81">
        <f t="shared" si="11"/>
        <v>0</v>
      </c>
      <c r="K81">
        <f>IF(COUNTIFS(Sessions!$B:$B,A81,Sessions!$E:$E,G81+1)&gt;0,1,0)</f>
        <v>1</v>
      </c>
      <c r="L81">
        <f>IF(COUNTIFS(Sessions!$B:$B,A81,Sessions!$E:$E,G81+3)&gt;0,1,0)</f>
        <v>0</v>
      </c>
      <c r="M81">
        <f>IF(COUNTIFS(Sessions!$B:$B,A81,Sessions!$E:$E,G81+7)&gt;0,1,0)</f>
        <v>0</v>
      </c>
      <c r="N81" t="str">
        <f t="shared" si="12"/>
        <v>A (&lt;0.5)</v>
      </c>
      <c r="O81" t="str">
        <f t="shared" si="13"/>
        <v>45-64</v>
      </c>
      <c r="P81" t="str">
        <f t="shared" si="14"/>
        <v>Jan-May</v>
      </c>
      <c r="Q81" s="10">
        <f>IF(COUNTIFS(Sessions!$B:$B,A81,Sessions!$E:$E,G81+$R$2)&gt;0,1,0)</f>
        <v>1</v>
      </c>
    </row>
    <row r="82" spans="1:17" x14ac:dyDescent="0.3">
      <c r="A82">
        <v>87</v>
      </c>
      <c r="B82" t="s">
        <v>104</v>
      </c>
      <c r="C82" t="s">
        <v>24</v>
      </c>
      <c r="D82">
        <v>47</v>
      </c>
      <c r="E82">
        <v>0.40819899999999998</v>
      </c>
      <c r="F82" s="2">
        <v>44656.855787037035</v>
      </c>
      <c r="G82" s="3">
        <f t="shared" si="10"/>
        <v>44656</v>
      </c>
      <c r="H82">
        <f>COUNTIF(Sessions!$B:$B,A82)</f>
        <v>2</v>
      </c>
      <c r="I82" s="5">
        <f>SUMIFS(Purchases!$E:$E,Purchases!$F:$F,A82)</f>
        <v>2.99</v>
      </c>
      <c r="J82">
        <f t="shared" si="11"/>
        <v>1</v>
      </c>
      <c r="K82">
        <f>IF(COUNTIFS(Sessions!$B:$B,A82,Sessions!$E:$E,G82+1)&gt;0,1,0)</f>
        <v>1</v>
      </c>
      <c r="L82">
        <f>IF(COUNTIFS(Sessions!$B:$B,A82,Sessions!$E:$E,G82+3)&gt;0,1,0)</f>
        <v>0</v>
      </c>
      <c r="M82">
        <f>IF(COUNTIFS(Sessions!$B:$B,A82,Sessions!$E:$E,G82+7)&gt;0,1,0)</f>
        <v>0</v>
      </c>
      <c r="N82" t="str">
        <f t="shared" si="12"/>
        <v>A (&lt;0.5)</v>
      </c>
      <c r="O82" t="str">
        <f t="shared" si="13"/>
        <v>45-64</v>
      </c>
      <c r="P82" t="str">
        <f t="shared" si="14"/>
        <v>Jan-May</v>
      </c>
      <c r="Q82" s="10">
        <f>IF(COUNTIFS(Sessions!$B:$B,A82,Sessions!$E:$E,G82+$R$2)&gt;0,1,0)</f>
        <v>1</v>
      </c>
    </row>
    <row r="83" spans="1:17" x14ac:dyDescent="0.3">
      <c r="A83">
        <v>88</v>
      </c>
      <c r="B83" t="s">
        <v>105</v>
      </c>
      <c r="C83" t="s">
        <v>26</v>
      </c>
      <c r="D83">
        <v>15</v>
      </c>
      <c r="E83">
        <v>0.64429199999999998</v>
      </c>
      <c r="F83" s="2">
        <v>44720.73951388889</v>
      </c>
      <c r="G83" s="3">
        <f t="shared" si="10"/>
        <v>44720</v>
      </c>
      <c r="H83">
        <f>COUNTIF(Sessions!$B:$B,A83)</f>
        <v>59</v>
      </c>
      <c r="I83" s="5">
        <f>SUMIFS(Purchases!$E:$E,Purchases!$F:$F,A83)</f>
        <v>37.920000000000009</v>
      </c>
      <c r="J83">
        <f t="shared" si="11"/>
        <v>1</v>
      </c>
      <c r="K83">
        <f>IF(COUNTIFS(Sessions!$B:$B,A83,Sessions!$E:$E,G83+1)&gt;0,1,0)</f>
        <v>1</v>
      </c>
      <c r="L83">
        <f>IF(COUNTIFS(Sessions!$B:$B,A83,Sessions!$E:$E,G83+3)&gt;0,1,0)</f>
        <v>1</v>
      </c>
      <c r="M83">
        <f>IF(COUNTIFS(Sessions!$B:$B,A83,Sessions!$E:$E,G83+7)&gt;0,1,0)</f>
        <v>1</v>
      </c>
      <c r="N83" t="str">
        <f t="shared" si="12"/>
        <v>B (&gt;=0.5)</v>
      </c>
      <c r="O83" t="str">
        <f t="shared" si="13"/>
        <v>12-24</v>
      </c>
      <c r="P83" t="str">
        <f t="shared" si="14"/>
        <v>Jun-Dec</v>
      </c>
      <c r="Q83" s="10">
        <f>IF(COUNTIFS(Sessions!$B:$B,A83,Sessions!$E:$E,G83+$R$2)&gt;0,1,0)</f>
        <v>1</v>
      </c>
    </row>
    <row r="84" spans="1:17" x14ac:dyDescent="0.3">
      <c r="A84">
        <v>89</v>
      </c>
      <c r="B84" t="s">
        <v>106</v>
      </c>
      <c r="C84" t="s">
        <v>22</v>
      </c>
      <c r="D84">
        <v>73</v>
      </c>
      <c r="E84">
        <v>0.88133600000000001</v>
      </c>
      <c r="F84" s="2">
        <v>44805.711412037039</v>
      </c>
      <c r="G84" s="3">
        <f t="shared" si="10"/>
        <v>44805</v>
      </c>
      <c r="H84">
        <f>COUNTIF(Sessions!$B:$B,A84)</f>
        <v>7</v>
      </c>
      <c r="I84" s="5">
        <f>SUMIFS(Purchases!$E:$E,Purchases!$F:$F,A84)</f>
        <v>0</v>
      </c>
      <c r="J84">
        <f t="shared" si="11"/>
        <v>0</v>
      </c>
      <c r="K84">
        <f>IF(COUNTIFS(Sessions!$B:$B,A84,Sessions!$E:$E,G84+1)&gt;0,1,0)</f>
        <v>1</v>
      </c>
      <c r="L84">
        <f>IF(COUNTIFS(Sessions!$B:$B,A84,Sessions!$E:$E,G84+3)&gt;0,1,0)</f>
        <v>0</v>
      </c>
      <c r="M84">
        <f>IF(COUNTIFS(Sessions!$B:$B,A84,Sessions!$E:$E,G84+7)&gt;0,1,0)</f>
        <v>0</v>
      </c>
      <c r="N84" t="str">
        <f t="shared" si="12"/>
        <v>B (&gt;=0.5)</v>
      </c>
      <c r="O84" t="str">
        <f t="shared" si="13"/>
        <v>65+</v>
      </c>
      <c r="P84" t="str">
        <f t="shared" si="14"/>
        <v>Jun-Dec</v>
      </c>
      <c r="Q84" s="10">
        <f>IF(COUNTIFS(Sessions!$B:$B,A84,Sessions!$E:$E,G84+$R$2)&gt;0,1,0)</f>
        <v>1</v>
      </c>
    </row>
    <row r="85" spans="1:17" x14ac:dyDescent="0.3">
      <c r="A85">
        <v>90</v>
      </c>
      <c r="B85" t="s">
        <v>107</v>
      </c>
      <c r="C85" t="s">
        <v>19</v>
      </c>
      <c r="D85">
        <v>18</v>
      </c>
      <c r="E85">
        <v>0.65896500000000002</v>
      </c>
      <c r="F85" s="2">
        <v>44575.962743055556</v>
      </c>
      <c r="G85" s="3">
        <f t="shared" si="10"/>
        <v>44575</v>
      </c>
      <c r="H85">
        <f>COUNTIF(Sessions!$B:$B,A85)</f>
        <v>6</v>
      </c>
      <c r="I85" s="5">
        <f>SUMIFS(Purchases!$E:$E,Purchases!$F:$F,A85)</f>
        <v>2.99</v>
      </c>
      <c r="J85">
        <f t="shared" si="11"/>
        <v>1</v>
      </c>
      <c r="K85">
        <f>IF(COUNTIFS(Sessions!$B:$B,A85,Sessions!$E:$E,G85+1)&gt;0,1,0)</f>
        <v>1</v>
      </c>
      <c r="L85">
        <f>IF(COUNTIFS(Sessions!$B:$B,A85,Sessions!$E:$E,G85+3)&gt;0,1,0)</f>
        <v>0</v>
      </c>
      <c r="M85">
        <f>IF(COUNTIFS(Sessions!$B:$B,A85,Sessions!$E:$E,G85+7)&gt;0,1,0)</f>
        <v>0</v>
      </c>
      <c r="N85" t="str">
        <f t="shared" si="12"/>
        <v>B (&gt;=0.5)</v>
      </c>
      <c r="O85" t="str">
        <f t="shared" si="13"/>
        <v>12-24</v>
      </c>
      <c r="P85" t="str">
        <f t="shared" si="14"/>
        <v>Jan-May</v>
      </c>
      <c r="Q85" s="10">
        <f>IF(COUNTIFS(Sessions!$B:$B,A85,Sessions!$E:$E,G85+$R$2)&gt;0,1,0)</f>
        <v>1</v>
      </c>
    </row>
    <row r="86" spans="1:17" x14ac:dyDescent="0.3">
      <c r="A86">
        <v>91</v>
      </c>
      <c r="B86" t="s">
        <v>108</v>
      </c>
      <c r="C86" t="s">
        <v>28</v>
      </c>
      <c r="D86">
        <v>77</v>
      </c>
      <c r="E86">
        <v>0.17102100000000001</v>
      </c>
      <c r="F86" s="2">
        <v>44565.918182870373</v>
      </c>
      <c r="G86" s="3">
        <f t="shared" si="10"/>
        <v>44565</v>
      </c>
      <c r="H86">
        <f>COUNTIF(Sessions!$B:$B,A86)</f>
        <v>9</v>
      </c>
      <c r="I86" s="5">
        <f>SUMIFS(Purchases!$E:$E,Purchases!$F:$F,A86)</f>
        <v>0.99</v>
      </c>
      <c r="J86">
        <f t="shared" si="11"/>
        <v>1</v>
      </c>
      <c r="K86">
        <f>IF(COUNTIFS(Sessions!$B:$B,A86,Sessions!$E:$E,G86+1)&gt;0,1,0)</f>
        <v>1</v>
      </c>
      <c r="L86">
        <f>IF(COUNTIFS(Sessions!$B:$B,A86,Sessions!$E:$E,G86+3)&gt;0,1,0)</f>
        <v>0</v>
      </c>
      <c r="M86">
        <f>IF(COUNTIFS(Sessions!$B:$B,A86,Sessions!$E:$E,G86+7)&gt;0,1,0)</f>
        <v>0</v>
      </c>
      <c r="N86" t="str">
        <f t="shared" si="12"/>
        <v>A (&lt;0.5)</v>
      </c>
      <c r="O86" t="str">
        <f t="shared" si="13"/>
        <v>65+</v>
      </c>
      <c r="P86" t="str">
        <f t="shared" si="14"/>
        <v>Jan-May</v>
      </c>
      <c r="Q86" s="10">
        <f>IF(COUNTIFS(Sessions!$B:$B,A86,Sessions!$E:$E,G86+$R$2)&gt;0,1,0)</f>
        <v>1</v>
      </c>
    </row>
    <row r="87" spans="1:17" x14ac:dyDescent="0.3">
      <c r="A87">
        <v>92</v>
      </c>
      <c r="B87" t="s">
        <v>109</v>
      </c>
      <c r="C87" t="s">
        <v>22</v>
      </c>
      <c r="D87">
        <v>48</v>
      </c>
      <c r="E87">
        <v>0.51497199999999999</v>
      </c>
      <c r="F87" s="2">
        <v>44599.062638888892</v>
      </c>
      <c r="G87" s="3">
        <f t="shared" si="10"/>
        <v>44599</v>
      </c>
      <c r="H87">
        <f>COUNTIF(Sessions!$B:$B,A87)</f>
        <v>1</v>
      </c>
      <c r="I87" s="5">
        <f>SUMIFS(Purchases!$E:$E,Purchases!$F:$F,A87)</f>
        <v>0</v>
      </c>
      <c r="J87">
        <f t="shared" si="11"/>
        <v>0</v>
      </c>
      <c r="K87">
        <f>IF(COUNTIFS(Sessions!$B:$B,A87,Sessions!$E:$E,G87+1)&gt;0,1,0)</f>
        <v>0</v>
      </c>
      <c r="L87">
        <f>IF(COUNTIFS(Sessions!$B:$B,A87,Sessions!$E:$E,G87+3)&gt;0,1,0)</f>
        <v>0</v>
      </c>
      <c r="M87">
        <f>IF(COUNTIFS(Sessions!$B:$B,A87,Sessions!$E:$E,G87+7)&gt;0,1,0)</f>
        <v>0</v>
      </c>
      <c r="N87" t="str">
        <f t="shared" si="12"/>
        <v>B (&gt;=0.5)</v>
      </c>
      <c r="O87" t="str">
        <f t="shared" si="13"/>
        <v>45-64</v>
      </c>
      <c r="P87" t="str">
        <f t="shared" si="14"/>
        <v>Jan-May</v>
      </c>
      <c r="Q87" s="10">
        <f>IF(COUNTIFS(Sessions!$B:$B,A87,Sessions!$E:$E,G87+$R$2)&gt;0,1,0)</f>
        <v>0</v>
      </c>
    </row>
    <row r="88" spans="1:17" x14ac:dyDescent="0.3">
      <c r="A88">
        <v>93</v>
      </c>
      <c r="B88" t="s">
        <v>110</v>
      </c>
      <c r="C88" t="s">
        <v>41</v>
      </c>
      <c r="D88">
        <v>26</v>
      </c>
      <c r="E88">
        <v>0.56659099999999996</v>
      </c>
      <c r="F88" s="2">
        <v>44749.801111111112</v>
      </c>
      <c r="G88" s="3">
        <f t="shared" si="10"/>
        <v>44749</v>
      </c>
      <c r="H88">
        <f>COUNTIF(Sessions!$B:$B,A88)</f>
        <v>34</v>
      </c>
      <c r="I88" s="5">
        <f>SUMIFS(Purchases!$E:$E,Purchases!$F:$F,A88)</f>
        <v>0.99</v>
      </c>
      <c r="J88">
        <f t="shared" si="11"/>
        <v>1</v>
      </c>
      <c r="K88">
        <f>IF(COUNTIFS(Sessions!$B:$B,A88,Sessions!$E:$E,G88+1)&gt;0,1,0)</f>
        <v>1</v>
      </c>
      <c r="L88">
        <f>IF(COUNTIFS(Sessions!$B:$B,A88,Sessions!$E:$E,G88+3)&gt;0,1,0)</f>
        <v>1</v>
      </c>
      <c r="M88">
        <f>IF(COUNTIFS(Sessions!$B:$B,A88,Sessions!$E:$E,G88+7)&gt;0,1,0)</f>
        <v>0</v>
      </c>
      <c r="N88" t="str">
        <f t="shared" si="12"/>
        <v>B (&gt;=0.5)</v>
      </c>
      <c r="O88" t="str">
        <f t="shared" si="13"/>
        <v>25-44</v>
      </c>
      <c r="P88" t="str">
        <f t="shared" si="14"/>
        <v>Jun-Dec</v>
      </c>
      <c r="Q88" s="10">
        <f>IF(COUNTIFS(Sessions!$B:$B,A88,Sessions!$E:$E,G88+$R$2)&gt;0,1,0)</f>
        <v>1</v>
      </c>
    </row>
    <row r="89" spans="1:17" x14ac:dyDescent="0.3">
      <c r="A89">
        <v>94</v>
      </c>
      <c r="B89" t="s">
        <v>111</v>
      </c>
      <c r="C89" t="s">
        <v>24</v>
      </c>
      <c r="D89">
        <v>55</v>
      </c>
      <c r="E89">
        <v>0.65856899999999996</v>
      </c>
      <c r="F89" s="2">
        <v>44611.861076388886</v>
      </c>
      <c r="G89" s="3">
        <f t="shared" si="10"/>
        <v>44611</v>
      </c>
      <c r="H89">
        <f>COUNTIF(Sessions!$B:$B,A89)</f>
        <v>2</v>
      </c>
      <c r="I89" s="5">
        <f>SUMIFS(Purchases!$E:$E,Purchases!$F:$F,A89)</f>
        <v>0</v>
      </c>
      <c r="J89">
        <f t="shared" si="11"/>
        <v>0</v>
      </c>
      <c r="K89">
        <f>IF(COUNTIFS(Sessions!$B:$B,A89,Sessions!$E:$E,G89+1)&gt;0,1,0)</f>
        <v>1</v>
      </c>
      <c r="L89">
        <f>IF(COUNTIFS(Sessions!$B:$B,A89,Sessions!$E:$E,G89+3)&gt;0,1,0)</f>
        <v>0</v>
      </c>
      <c r="M89">
        <f>IF(COUNTIFS(Sessions!$B:$B,A89,Sessions!$E:$E,G89+7)&gt;0,1,0)</f>
        <v>0</v>
      </c>
      <c r="N89" t="str">
        <f t="shared" si="12"/>
        <v>B (&gt;=0.5)</v>
      </c>
      <c r="O89" t="str">
        <f t="shared" si="13"/>
        <v>45-64</v>
      </c>
      <c r="P89" t="str">
        <f t="shared" si="14"/>
        <v>Jan-May</v>
      </c>
      <c r="Q89" s="10">
        <f>IF(COUNTIFS(Sessions!$B:$B,A89,Sessions!$E:$E,G89+$R$2)&gt;0,1,0)</f>
        <v>1</v>
      </c>
    </row>
    <row r="90" spans="1:17" x14ac:dyDescent="0.3">
      <c r="A90">
        <v>95</v>
      </c>
      <c r="B90" t="s">
        <v>112</v>
      </c>
      <c r="C90" t="s">
        <v>28</v>
      </c>
      <c r="D90">
        <v>74</v>
      </c>
      <c r="E90">
        <v>0.79633500000000002</v>
      </c>
      <c r="F90" s="2">
        <v>44737.139201388891</v>
      </c>
      <c r="G90" s="3">
        <f t="shared" si="10"/>
        <v>44737</v>
      </c>
      <c r="H90">
        <f>COUNTIF(Sessions!$B:$B,A90)</f>
        <v>18</v>
      </c>
      <c r="I90" s="5">
        <f>SUMIFS(Purchases!$E:$E,Purchases!$F:$F,A90)</f>
        <v>1.98</v>
      </c>
      <c r="J90">
        <f t="shared" si="11"/>
        <v>1</v>
      </c>
      <c r="K90">
        <f>IF(COUNTIFS(Sessions!$B:$B,A90,Sessions!$E:$E,G90+1)&gt;0,1,0)</f>
        <v>1</v>
      </c>
      <c r="L90">
        <f>IF(COUNTIFS(Sessions!$B:$B,A90,Sessions!$E:$E,G90+3)&gt;0,1,0)</f>
        <v>1</v>
      </c>
      <c r="M90">
        <f>IF(COUNTIFS(Sessions!$B:$B,A90,Sessions!$E:$E,G90+7)&gt;0,1,0)</f>
        <v>0</v>
      </c>
      <c r="N90" t="str">
        <f t="shared" si="12"/>
        <v>B (&gt;=0.5)</v>
      </c>
      <c r="O90" t="str">
        <f t="shared" si="13"/>
        <v>65+</v>
      </c>
      <c r="P90" t="str">
        <f t="shared" si="14"/>
        <v>Jun-Dec</v>
      </c>
      <c r="Q90" s="10">
        <f>IF(COUNTIFS(Sessions!$B:$B,A90,Sessions!$E:$E,G90+$R$2)&gt;0,1,0)</f>
        <v>1</v>
      </c>
    </row>
    <row r="91" spans="1:17" x14ac:dyDescent="0.3">
      <c r="A91">
        <v>96</v>
      </c>
      <c r="B91" t="s">
        <v>113</v>
      </c>
      <c r="C91" t="s">
        <v>41</v>
      </c>
      <c r="D91">
        <v>46</v>
      </c>
      <c r="E91">
        <v>0.95493099999999997</v>
      </c>
      <c r="F91" s="2">
        <v>44759.602361111109</v>
      </c>
      <c r="G91" s="3">
        <f t="shared" si="10"/>
        <v>44759</v>
      </c>
      <c r="H91">
        <f>COUNTIF(Sessions!$B:$B,A91)</f>
        <v>35</v>
      </c>
      <c r="I91" s="5">
        <f>SUMIFS(Purchases!$E:$E,Purchases!$F:$F,A91)</f>
        <v>61.930000000000007</v>
      </c>
      <c r="J91">
        <f t="shared" si="11"/>
        <v>1</v>
      </c>
      <c r="K91">
        <f>IF(COUNTIFS(Sessions!$B:$B,A91,Sessions!$E:$E,G91+1)&gt;0,1,0)</f>
        <v>1</v>
      </c>
      <c r="L91">
        <f>IF(COUNTIFS(Sessions!$B:$B,A91,Sessions!$E:$E,G91+3)&gt;0,1,0)</f>
        <v>1</v>
      </c>
      <c r="M91">
        <f>IF(COUNTIFS(Sessions!$B:$B,A91,Sessions!$E:$E,G91+7)&gt;0,1,0)</f>
        <v>0</v>
      </c>
      <c r="N91" t="str">
        <f t="shared" si="12"/>
        <v>B (&gt;=0.5)</v>
      </c>
      <c r="O91" t="str">
        <f t="shared" si="13"/>
        <v>45-64</v>
      </c>
      <c r="P91" t="str">
        <f t="shared" si="14"/>
        <v>Jun-Dec</v>
      </c>
      <c r="Q91" s="10">
        <f>IF(COUNTIFS(Sessions!$B:$B,A91,Sessions!$E:$E,G91+$R$2)&gt;0,1,0)</f>
        <v>1</v>
      </c>
    </row>
    <row r="92" spans="1:17" x14ac:dyDescent="0.3">
      <c r="A92">
        <v>97</v>
      </c>
      <c r="B92" t="s">
        <v>114</v>
      </c>
      <c r="C92" t="s">
        <v>26</v>
      </c>
      <c r="D92">
        <v>30</v>
      </c>
      <c r="E92">
        <v>0.72158500000000003</v>
      </c>
      <c r="F92" s="2">
        <v>44640.360902777778</v>
      </c>
      <c r="G92" s="3">
        <f t="shared" si="10"/>
        <v>44640</v>
      </c>
      <c r="H92">
        <f>COUNTIF(Sessions!$B:$B,A92)</f>
        <v>5</v>
      </c>
      <c r="I92" s="5">
        <f>SUMIFS(Purchases!$E:$E,Purchases!$F:$F,A92)</f>
        <v>7.98</v>
      </c>
      <c r="J92">
        <f t="shared" si="11"/>
        <v>1</v>
      </c>
      <c r="K92">
        <f>IF(COUNTIFS(Sessions!$B:$B,A92,Sessions!$E:$E,G92+1)&gt;0,1,0)</f>
        <v>0</v>
      </c>
      <c r="L92">
        <f>IF(COUNTIFS(Sessions!$B:$B,A92,Sessions!$E:$E,G92+3)&gt;0,1,0)</f>
        <v>0</v>
      </c>
      <c r="M92">
        <f>IF(COUNTIFS(Sessions!$B:$B,A92,Sessions!$E:$E,G92+7)&gt;0,1,0)</f>
        <v>0</v>
      </c>
      <c r="N92" t="str">
        <f t="shared" si="12"/>
        <v>B (&gt;=0.5)</v>
      </c>
      <c r="O92" t="str">
        <f t="shared" si="13"/>
        <v>25-44</v>
      </c>
      <c r="P92" t="str">
        <f t="shared" si="14"/>
        <v>Jan-May</v>
      </c>
      <c r="Q92" s="10">
        <f>IF(COUNTIFS(Sessions!$B:$B,A92,Sessions!$E:$E,G92+$R$2)&gt;0,1,0)</f>
        <v>0</v>
      </c>
    </row>
    <row r="93" spans="1:17" x14ac:dyDescent="0.3">
      <c r="A93">
        <v>98</v>
      </c>
      <c r="B93" t="s">
        <v>115</v>
      </c>
      <c r="C93" t="s">
        <v>19</v>
      </c>
      <c r="D93">
        <v>72</v>
      </c>
      <c r="E93">
        <v>0.51939800000000003</v>
      </c>
      <c r="F93" s="2">
        <v>44770.412835648145</v>
      </c>
      <c r="G93" s="3">
        <f t="shared" si="10"/>
        <v>44770</v>
      </c>
      <c r="H93">
        <f>COUNTIF(Sessions!$B:$B,A93)</f>
        <v>6</v>
      </c>
      <c r="I93" s="5">
        <f>SUMIFS(Purchases!$E:$E,Purchases!$F:$F,A93)</f>
        <v>49.99</v>
      </c>
      <c r="J93">
        <f t="shared" si="11"/>
        <v>1</v>
      </c>
      <c r="K93">
        <f>IF(COUNTIFS(Sessions!$B:$B,A93,Sessions!$E:$E,G93+1)&gt;0,1,0)</f>
        <v>1</v>
      </c>
      <c r="L93">
        <f>IF(COUNTIFS(Sessions!$B:$B,A93,Sessions!$E:$E,G93+3)&gt;0,1,0)</f>
        <v>0</v>
      </c>
      <c r="M93">
        <f>IF(COUNTIFS(Sessions!$B:$B,A93,Sessions!$E:$E,G93+7)&gt;0,1,0)</f>
        <v>0</v>
      </c>
      <c r="N93" t="str">
        <f t="shared" si="12"/>
        <v>B (&gt;=0.5)</v>
      </c>
      <c r="O93" t="str">
        <f t="shared" si="13"/>
        <v>65+</v>
      </c>
      <c r="P93" t="str">
        <f t="shared" si="14"/>
        <v>Jun-Dec</v>
      </c>
      <c r="Q93" s="10">
        <f>IF(COUNTIFS(Sessions!$B:$B,A93,Sessions!$E:$E,G93+$R$2)&gt;0,1,0)</f>
        <v>1</v>
      </c>
    </row>
    <row r="94" spans="1:17" x14ac:dyDescent="0.3">
      <c r="A94">
        <v>99</v>
      </c>
      <c r="B94" t="s">
        <v>116</v>
      </c>
      <c r="C94" t="s">
        <v>24</v>
      </c>
      <c r="D94">
        <v>13</v>
      </c>
      <c r="E94">
        <v>0.22803999999999999</v>
      </c>
      <c r="F94" s="2">
        <v>44773.657604166663</v>
      </c>
      <c r="G94" s="3">
        <f t="shared" si="10"/>
        <v>44773</v>
      </c>
      <c r="H94">
        <f>COUNTIF(Sessions!$B:$B,A94)</f>
        <v>17</v>
      </c>
      <c r="I94" s="5">
        <f>SUMIFS(Purchases!$E:$E,Purchases!$F:$F,A94)</f>
        <v>5.98</v>
      </c>
      <c r="J94">
        <f t="shared" si="11"/>
        <v>1</v>
      </c>
      <c r="K94">
        <f>IF(COUNTIFS(Sessions!$B:$B,A94,Sessions!$E:$E,G94+1)&gt;0,1,0)</f>
        <v>1</v>
      </c>
      <c r="L94">
        <f>IF(COUNTIFS(Sessions!$B:$B,A94,Sessions!$E:$E,G94+3)&gt;0,1,0)</f>
        <v>1</v>
      </c>
      <c r="M94">
        <f>IF(COUNTIFS(Sessions!$B:$B,A94,Sessions!$E:$E,G94+7)&gt;0,1,0)</f>
        <v>0</v>
      </c>
      <c r="N94" t="str">
        <f t="shared" si="12"/>
        <v>A (&lt;0.5)</v>
      </c>
      <c r="O94" t="str">
        <f t="shared" si="13"/>
        <v>12-24</v>
      </c>
      <c r="P94" t="str">
        <f t="shared" si="14"/>
        <v>Jun-Dec</v>
      </c>
      <c r="Q94" s="10">
        <f>IF(COUNTIFS(Sessions!$B:$B,A94,Sessions!$E:$E,G94+$R$2)&gt;0,1,0)</f>
        <v>1</v>
      </c>
    </row>
    <row r="95" spans="1:17" x14ac:dyDescent="0.3">
      <c r="A95">
        <v>100</v>
      </c>
      <c r="B95" t="s">
        <v>117</v>
      </c>
      <c r="C95" t="s">
        <v>24</v>
      </c>
      <c r="D95">
        <v>28</v>
      </c>
      <c r="E95">
        <v>0.40571499999999999</v>
      </c>
      <c r="F95" s="2">
        <v>44692.554155092592</v>
      </c>
      <c r="G95" s="3">
        <f t="shared" si="10"/>
        <v>44692</v>
      </c>
      <c r="H95">
        <f>COUNTIF(Sessions!$B:$B,A95)</f>
        <v>1</v>
      </c>
      <c r="I95" s="5">
        <f>SUMIFS(Purchases!$E:$E,Purchases!$F:$F,A95)</f>
        <v>0</v>
      </c>
      <c r="J95">
        <f t="shared" si="11"/>
        <v>0</v>
      </c>
      <c r="K95">
        <f>IF(COUNTIFS(Sessions!$B:$B,A95,Sessions!$E:$E,G95+1)&gt;0,1,0)</f>
        <v>0</v>
      </c>
      <c r="L95">
        <f>IF(COUNTIFS(Sessions!$B:$B,A95,Sessions!$E:$E,G95+3)&gt;0,1,0)</f>
        <v>0</v>
      </c>
      <c r="M95">
        <f>IF(COUNTIFS(Sessions!$B:$B,A95,Sessions!$E:$E,G95+7)&gt;0,1,0)</f>
        <v>0</v>
      </c>
      <c r="N95" t="str">
        <f t="shared" si="12"/>
        <v>A (&lt;0.5)</v>
      </c>
      <c r="O95" t="str">
        <f t="shared" si="13"/>
        <v>25-44</v>
      </c>
      <c r="P95" t="str">
        <f t="shared" si="14"/>
        <v>Jan-May</v>
      </c>
      <c r="Q95" s="10">
        <f>IF(COUNTIFS(Sessions!$B:$B,A95,Sessions!$E:$E,G95+$R$2)&gt;0,1,0)</f>
        <v>0</v>
      </c>
    </row>
    <row r="96" spans="1:17" x14ac:dyDescent="0.3">
      <c r="A96">
        <v>101</v>
      </c>
      <c r="B96" t="s">
        <v>118</v>
      </c>
      <c r="C96" t="s">
        <v>24</v>
      </c>
      <c r="D96">
        <v>15</v>
      </c>
      <c r="E96">
        <v>6.4089999999999994E-2</v>
      </c>
      <c r="F96" s="2">
        <v>44890.149780092594</v>
      </c>
      <c r="G96" s="3">
        <f t="shared" si="10"/>
        <v>44890</v>
      </c>
      <c r="H96">
        <f>COUNTIF(Sessions!$B:$B,A96)</f>
        <v>11</v>
      </c>
      <c r="I96" s="5">
        <f>SUMIFS(Purchases!$E:$E,Purchases!$F:$F,A96)</f>
        <v>0</v>
      </c>
      <c r="J96">
        <f t="shared" si="11"/>
        <v>0</v>
      </c>
      <c r="K96">
        <f>IF(COUNTIFS(Sessions!$B:$B,A96,Sessions!$E:$E,G96+1)&gt;0,1,0)</f>
        <v>1</v>
      </c>
      <c r="L96">
        <f>IF(COUNTIFS(Sessions!$B:$B,A96,Sessions!$E:$E,G96+3)&gt;0,1,0)</f>
        <v>0</v>
      </c>
      <c r="M96">
        <f>IF(COUNTIFS(Sessions!$B:$B,A96,Sessions!$E:$E,G96+7)&gt;0,1,0)</f>
        <v>0</v>
      </c>
      <c r="N96" t="str">
        <f t="shared" si="12"/>
        <v>A (&lt;0.5)</v>
      </c>
      <c r="O96" t="str">
        <f t="shared" si="13"/>
        <v>12-24</v>
      </c>
      <c r="P96" t="str">
        <f t="shared" si="14"/>
        <v>Jun-Dec</v>
      </c>
      <c r="Q96" s="10">
        <f>IF(COUNTIFS(Sessions!$B:$B,A96,Sessions!$E:$E,G96+$R$2)&gt;0,1,0)</f>
        <v>1</v>
      </c>
    </row>
    <row r="97" spans="1:17" x14ac:dyDescent="0.3">
      <c r="A97">
        <v>102</v>
      </c>
      <c r="B97" t="s">
        <v>119</v>
      </c>
      <c r="C97" t="s">
        <v>24</v>
      </c>
      <c r="D97">
        <v>68</v>
      </c>
      <c r="E97">
        <v>0.34379300000000002</v>
      </c>
      <c r="F97" s="2">
        <v>44618.283726851849</v>
      </c>
      <c r="G97" s="3">
        <f t="shared" si="10"/>
        <v>44618</v>
      </c>
      <c r="H97">
        <f>COUNTIF(Sessions!$B:$B,A97)</f>
        <v>1</v>
      </c>
      <c r="I97" s="5">
        <f>SUMIFS(Purchases!$E:$E,Purchases!$F:$F,A97)</f>
        <v>0</v>
      </c>
      <c r="J97">
        <f t="shared" si="11"/>
        <v>0</v>
      </c>
      <c r="K97">
        <f>IF(COUNTIFS(Sessions!$B:$B,A97,Sessions!$E:$E,G97+1)&gt;0,1,0)</f>
        <v>0</v>
      </c>
      <c r="L97">
        <f>IF(COUNTIFS(Sessions!$B:$B,A97,Sessions!$E:$E,G97+3)&gt;0,1,0)</f>
        <v>0</v>
      </c>
      <c r="M97">
        <f>IF(COUNTIFS(Sessions!$B:$B,A97,Sessions!$E:$E,G97+7)&gt;0,1,0)</f>
        <v>0</v>
      </c>
      <c r="N97" t="str">
        <f t="shared" si="12"/>
        <v>A (&lt;0.5)</v>
      </c>
      <c r="O97" t="str">
        <f t="shared" si="13"/>
        <v>65+</v>
      </c>
      <c r="P97" t="str">
        <f t="shared" si="14"/>
        <v>Jan-May</v>
      </c>
      <c r="Q97" s="10">
        <f>IF(COUNTIFS(Sessions!$B:$B,A97,Sessions!$E:$E,G97+$R$2)&gt;0,1,0)</f>
        <v>0</v>
      </c>
    </row>
    <row r="98" spans="1:17" x14ac:dyDescent="0.3">
      <c r="A98">
        <v>103</v>
      </c>
      <c r="B98" t="s">
        <v>120</v>
      </c>
      <c r="C98" t="s">
        <v>28</v>
      </c>
      <c r="D98">
        <v>61</v>
      </c>
      <c r="E98">
        <v>0.37675799999999998</v>
      </c>
      <c r="F98" s="2">
        <v>44875.305960648147</v>
      </c>
      <c r="G98" s="3">
        <f t="shared" ref="G98:G101" si="15">INT(F98)</f>
        <v>44875</v>
      </c>
      <c r="H98">
        <f>COUNTIF(Sessions!$B:$B,A98)</f>
        <v>4</v>
      </c>
      <c r="I98" s="5">
        <f>SUMIFS(Purchases!$E:$E,Purchases!$F:$F,A98)</f>
        <v>0.99</v>
      </c>
      <c r="J98">
        <f t="shared" ref="J98:J101" si="16">IF(I98&gt;0,1,0)</f>
        <v>1</v>
      </c>
      <c r="K98">
        <f>IF(COUNTIFS(Sessions!$B:$B,A98,Sessions!$E:$E,G98+1)&gt;0,1,0)</f>
        <v>0</v>
      </c>
      <c r="L98">
        <f>IF(COUNTIFS(Sessions!$B:$B,A98,Sessions!$E:$E,G98+3)&gt;0,1,0)</f>
        <v>0</v>
      </c>
      <c r="M98">
        <f>IF(COUNTIFS(Sessions!$B:$B,A98,Sessions!$E:$E,G98+7)&gt;0,1,0)</f>
        <v>0</v>
      </c>
      <c r="N98" t="str">
        <f t="shared" si="12"/>
        <v>A (&lt;0.5)</v>
      </c>
      <c r="O98" t="str">
        <f t="shared" si="13"/>
        <v>45-64</v>
      </c>
      <c r="P98" t="str">
        <f t="shared" si="14"/>
        <v>Jun-Dec</v>
      </c>
      <c r="Q98" s="10">
        <f>IF(COUNTIFS(Sessions!$B:$B,A98,Sessions!$E:$E,G98+$R$2)&gt;0,1,0)</f>
        <v>0</v>
      </c>
    </row>
    <row r="99" spans="1:17" x14ac:dyDescent="0.3">
      <c r="A99">
        <v>104</v>
      </c>
      <c r="B99" t="s">
        <v>121</v>
      </c>
      <c r="C99" t="s">
        <v>28</v>
      </c>
      <c r="D99">
        <v>64</v>
      </c>
      <c r="E99">
        <v>0.152702</v>
      </c>
      <c r="F99" s="2">
        <v>44675.47246527778</v>
      </c>
      <c r="G99" s="3">
        <f t="shared" si="15"/>
        <v>44675</v>
      </c>
      <c r="H99">
        <f>COUNTIF(Sessions!$B:$B,A99)</f>
        <v>1</v>
      </c>
      <c r="I99" s="5">
        <f>SUMIFS(Purchases!$E:$E,Purchases!$F:$F,A99)</f>
        <v>0</v>
      </c>
      <c r="J99">
        <f t="shared" si="16"/>
        <v>0</v>
      </c>
      <c r="K99">
        <f>IF(COUNTIFS(Sessions!$B:$B,A99,Sessions!$E:$E,G99+1)&gt;0,1,0)</f>
        <v>0</v>
      </c>
      <c r="L99">
        <f>IF(COUNTIFS(Sessions!$B:$B,A99,Sessions!$E:$E,G99+3)&gt;0,1,0)</f>
        <v>0</v>
      </c>
      <c r="M99">
        <f>IF(COUNTIFS(Sessions!$B:$B,A99,Sessions!$E:$E,G99+7)&gt;0,1,0)</f>
        <v>0</v>
      </c>
      <c r="N99" t="str">
        <f t="shared" si="12"/>
        <v>A (&lt;0.5)</v>
      </c>
      <c r="O99" t="str">
        <f t="shared" si="13"/>
        <v>45-64</v>
      </c>
      <c r="P99" t="str">
        <f t="shared" si="14"/>
        <v>Jan-May</v>
      </c>
      <c r="Q99" s="10">
        <f>IF(COUNTIFS(Sessions!$B:$B,A99,Sessions!$E:$E,G99+$R$2)&gt;0,1,0)</f>
        <v>0</v>
      </c>
    </row>
    <row r="100" spans="1:17" x14ac:dyDescent="0.3">
      <c r="A100">
        <v>105</v>
      </c>
      <c r="B100" t="s">
        <v>122</v>
      </c>
      <c r="C100" t="s">
        <v>28</v>
      </c>
      <c r="D100">
        <v>65</v>
      </c>
      <c r="E100">
        <v>0.15596299999999999</v>
      </c>
      <c r="F100" s="2">
        <v>44666.575428240743</v>
      </c>
      <c r="G100" s="3">
        <f t="shared" si="15"/>
        <v>44666</v>
      </c>
      <c r="H100">
        <f>COUNTIF(Sessions!$B:$B,A100)</f>
        <v>3</v>
      </c>
      <c r="I100" s="5">
        <f>SUMIFS(Purchases!$E:$E,Purchases!$F:$F,A100)</f>
        <v>0</v>
      </c>
      <c r="J100">
        <f t="shared" si="16"/>
        <v>0</v>
      </c>
      <c r="K100">
        <f>IF(COUNTIFS(Sessions!$B:$B,A100,Sessions!$E:$E,G100+1)&gt;0,1,0)</f>
        <v>0</v>
      </c>
      <c r="L100">
        <f>IF(COUNTIFS(Sessions!$B:$B,A100,Sessions!$E:$E,G100+3)&gt;0,1,0)</f>
        <v>0</v>
      </c>
      <c r="M100">
        <f>IF(COUNTIFS(Sessions!$B:$B,A100,Sessions!$E:$E,G100+7)&gt;0,1,0)</f>
        <v>0</v>
      </c>
      <c r="N100" t="str">
        <f t="shared" si="12"/>
        <v>A (&lt;0.5)</v>
      </c>
      <c r="O100" t="str">
        <f t="shared" si="13"/>
        <v>65+</v>
      </c>
      <c r="P100" t="str">
        <f t="shared" si="14"/>
        <v>Jan-May</v>
      </c>
      <c r="Q100" s="10">
        <f>IF(COUNTIFS(Sessions!$B:$B,A100,Sessions!$E:$E,G100+$R$2)&gt;0,1,0)</f>
        <v>0</v>
      </c>
    </row>
    <row r="101" spans="1:17" x14ac:dyDescent="0.3">
      <c r="A101">
        <v>106</v>
      </c>
      <c r="B101" t="s">
        <v>123</v>
      </c>
      <c r="C101" t="s">
        <v>22</v>
      </c>
      <c r="D101">
        <v>74</v>
      </c>
      <c r="E101">
        <v>0.56738200000000005</v>
      </c>
      <c r="F101" s="2">
        <v>44617.913298611114</v>
      </c>
      <c r="G101" s="3">
        <f t="shared" si="15"/>
        <v>44617</v>
      </c>
      <c r="H101">
        <f>COUNTIF(Sessions!$B:$B,A101)</f>
        <v>2</v>
      </c>
      <c r="I101" s="5">
        <f>SUMIFS(Purchases!$E:$E,Purchases!$F:$F,A101)</f>
        <v>0</v>
      </c>
      <c r="J101">
        <f t="shared" si="16"/>
        <v>0</v>
      </c>
      <c r="K101">
        <f>IF(COUNTIFS(Sessions!$B:$B,A101,Sessions!$E:$E,G101+1)&gt;0,1,0)</f>
        <v>0</v>
      </c>
      <c r="L101">
        <f>IF(COUNTIFS(Sessions!$B:$B,A101,Sessions!$E:$E,G101+3)&gt;0,1,0)</f>
        <v>0</v>
      </c>
      <c r="M101">
        <f>IF(COUNTIFS(Sessions!$B:$B,A101,Sessions!$E:$E,G101+7)&gt;0,1,0)</f>
        <v>0</v>
      </c>
      <c r="N101" t="str">
        <f t="shared" si="12"/>
        <v>B (&gt;=0.5)</v>
      </c>
      <c r="O101" t="str">
        <f t="shared" si="13"/>
        <v>65+</v>
      </c>
      <c r="P101" t="str">
        <f t="shared" si="14"/>
        <v>Jan-May</v>
      </c>
      <c r="Q101" s="10">
        <f>IF(COUNTIFS(Sessions!$B:$B,A101,Sessions!$E:$E,G101+$R$2)&gt;0,1,0)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46AE-860A-44D3-8ACD-EBBB884C560B}">
  <dimension ref="A1:I1185"/>
  <sheetViews>
    <sheetView workbookViewId="0">
      <selection activeCell="N19" sqref="N19"/>
    </sheetView>
  </sheetViews>
  <sheetFormatPr baseColWidth="10" defaultRowHeight="14.4" x14ac:dyDescent="0.3"/>
  <cols>
    <col min="1" max="1" width="9.21875" bestFit="1" customWidth="1"/>
    <col min="2" max="2" width="6.5546875" bestFit="1" customWidth="1"/>
    <col min="3" max="4" width="17.88671875" bestFit="1" customWidth="1"/>
    <col min="5" max="5" width="10.33203125" bestFit="1" customWidth="1"/>
    <col min="6" max="6" width="6.109375" bestFit="1" customWidth="1"/>
    <col min="7" max="7" width="11.33203125" bestFit="1" customWidth="1"/>
    <col min="8" max="8" width="14.77734375" customWidth="1"/>
    <col min="9" max="9" width="16.77734375" customWidth="1"/>
  </cols>
  <sheetData>
    <row r="1" spans="1:9" x14ac:dyDescent="0.3">
      <c r="A1" s="1" t="s">
        <v>124</v>
      </c>
      <c r="B1" s="1" t="s">
        <v>2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179</v>
      </c>
      <c r="I1" s="1" t="s">
        <v>180</v>
      </c>
    </row>
    <row r="2" spans="1:9" x14ac:dyDescent="0.3">
      <c r="A2">
        <v>12</v>
      </c>
      <c r="B2">
        <v>7</v>
      </c>
      <c r="C2" s="2">
        <v>44594.27784722222</v>
      </c>
      <c r="D2" s="2">
        <v>44594.285949074074</v>
      </c>
      <c r="E2" s="3">
        <f t="shared" ref="E2:E65" si="0">INT(C2)</f>
        <v>44594</v>
      </c>
      <c r="F2">
        <f t="shared" ref="F2:F65" si="1">MONTH(C2)</f>
        <v>2</v>
      </c>
      <c r="G2" s="4">
        <f t="shared" ref="G2:G65" si="2">(D2-C2)*1440</f>
        <v>11.666666669771075</v>
      </c>
      <c r="H2">
        <f>IF(COUNTIFS(B$2:B2,B2,E$2:E2,E2)=1,1,0)</f>
        <v>1</v>
      </c>
      <c r="I2">
        <f>IF(COUNTIFS(B$2:B2,B2,F$2:F2,F2)=1,1,0)</f>
        <v>1</v>
      </c>
    </row>
    <row r="3" spans="1:9" x14ac:dyDescent="0.3">
      <c r="A3">
        <v>13</v>
      </c>
      <c r="B3">
        <v>8</v>
      </c>
      <c r="C3" s="2">
        <v>44741.52679398148</v>
      </c>
      <c r="D3" s="2">
        <v>44741.53125</v>
      </c>
      <c r="E3" s="3">
        <f t="shared" si="0"/>
        <v>44741</v>
      </c>
      <c r="F3">
        <f t="shared" si="1"/>
        <v>6</v>
      </c>
      <c r="G3" s="4">
        <f t="shared" si="2"/>
        <v>6.4166666683740914</v>
      </c>
      <c r="H3">
        <f>IF(COUNTIFS(B$2:B3,B3,E$2:E3,E3)=1,1,0)</f>
        <v>1</v>
      </c>
      <c r="I3">
        <f>IF(COUNTIFS(B$2:B3,B3,F$2:F3,F3)=1,1,0)</f>
        <v>1</v>
      </c>
    </row>
    <row r="4" spans="1:9" x14ac:dyDescent="0.3">
      <c r="A4">
        <v>14</v>
      </c>
      <c r="B4">
        <v>8</v>
      </c>
      <c r="C4" s="2">
        <v>44741.705601851849</v>
      </c>
      <c r="D4" s="2">
        <v>44741.713055555556</v>
      </c>
      <c r="E4" s="3">
        <f t="shared" si="0"/>
        <v>44741</v>
      </c>
      <c r="F4">
        <f t="shared" si="1"/>
        <v>6</v>
      </c>
      <c r="G4" s="4">
        <f t="shared" si="2"/>
        <v>10.733333338284865</v>
      </c>
      <c r="H4">
        <f>IF(COUNTIFS(B$2:B4,B4,E$2:E4,E4)=1,1,0)</f>
        <v>0</v>
      </c>
      <c r="I4">
        <f>IF(COUNTIFS(B$2:B4,B4,F$2:F4,F4)=1,1,0)</f>
        <v>0</v>
      </c>
    </row>
    <row r="5" spans="1:9" x14ac:dyDescent="0.3">
      <c r="A5">
        <v>15</v>
      </c>
      <c r="B5">
        <v>8</v>
      </c>
      <c r="C5" s="2">
        <v>44741.826736111114</v>
      </c>
      <c r="D5" s="2">
        <v>44741.82912037037</v>
      </c>
      <c r="E5" s="3">
        <f t="shared" si="0"/>
        <v>44741</v>
      </c>
      <c r="F5">
        <f t="shared" si="1"/>
        <v>6</v>
      </c>
      <c r="G5" s="4">
        <f t="shared" si="2"/>
        <v>3.4333333291579038</v>
      </c>
      <c r="H5">
        <f>IF(COUNTIFS(B$2:B5,B5,E$2:E5,E5)=1,1,0)</f>
        <v>0</v>
      </c>
      <c r="I5">
        <f>IF(COUNTIFS(B$2:B5,B5,F$2:F5,F5)=1,1,0)</f>
        <v>0</v>
      </c>
    </row>
    <row r="6" spans="1:9" x14ac:dyDescent="0.3">
      <c r="A6">
        <v>16</v>
      </c>
      <c r="B6">
        <v>8</v>
      </c>
      <c r="C6" s="2">
        <v>44742.072627314818</v>
      </c>
      <c r="D6" s="2">
        <v>44742.083356481482</v>
      </c>
      <c r="E6" s="3">
        <f t="shared" si="0"/>
        <v>44742</v>
      </c>
      <c r="F6">
        <f t="shared" si="1"/>
        <v>6</v>
      </c>
      <c r="G6" s="4">
        <f t="shared" si="2"/>
        <v>15.449999996926636</v>
      </c>
      <c r="H6">
        <f>IF(COUNTIFS(B$2:B6,B6,E$2:E6,E6)=1,1,0)</f>
        <v>1</v>
      </c>
      <c r="I6">
        <f>IF(COUNTIFS(B$2:B6,B6,F$2:F6,F6)=1,1,0)</f>
        <v>0</v>
      </c>
    </row>
    <row r="7" spans="1:9" x14ac:dyDescent="0.3">
      <c r="A7">
        <v>17</v>
      </c>
      <c r="B7">
        <v>8</v>
      </c>
      <c r="C7" s="2">
        <v>44742.273078703707</v>
      </c>
      <c r="D7" s="2">
        <v>44742.280671296299</v>
      </c>
      <c r="E7" s="3">
        <f t="shared" si="0"/>
        <v>44742</v>
      </c>
      <c r="F7">
        <f t="shared" si="1"/>
        <v>6</v>
      </c>
      <c r="G7" s="4">
        <f t="shared" si="2"/>
        <v>10.933333332650363</v>
      </c>
      <c r="H7">
        <f>IF(COUNTIFS(B$2:B7,B7,E$2:E7,E7)=1,1,0)</f>
        <v>0</v>
      </c>
      <c r="I7">
        <f>IF(COUNTIFS(B$2:B7,B7,F$2:F7,F7)=1,1,0)</f>
        <v>0</v>
      </c>
    </row>
    <row r="8" spans="1:9" x14ac:dyDescent="0.3">
      <c r="A8">
        <v>18</v>
      </c>
      <c r="B8">
        <v>8</v>
      </c>
      <c r="C8" s="2">
        <v>44742.35497685185</v>
      </c>
      <c r="D8" s="2">
        <v>44742.35633101852</v>
      </c>
      <c r="E8" s="3">
        <f t="shared" si="0"/>
        <v>44742</v>
      </c>
      <c r="F8">
        <f t="shared" si="1"/>
        <v>6</v>
      </c>
      <c r="G8" s="4">
        <f t="shared" si="2"/>
        <v>1.9500000053085387</v>
      </c>
      <c r="H8">
        <f>IF(COUNTIFS(B$2:B8,B8,E$2:E8,E8)=1,1,0)</f>
        <v>0</v>
      </c>
      <c r="I8">
        <f>IF(COUNTIFS(B$2:B8,B8,F$2:F8,F8)=1,1,0)</f>
        <v>0</v>
      </c>
    </row>
    <row r="9" spans="1:9" x14ac:dyDescent="0.3">
      <c r="A9">
        <v>19</v>
      </c>
      <c r="B9">
        <v>8</v>
      </c>
      <c r="C9" s="2">
        <v>44742.42423611111</v>
      </c>
      <c r="D9" s="2">
        <v>44742.426666666666</v>
      </c>
      <c r="E9" s="3">
        <f t="shared" si="0"/>
        <v>44742</v>
      </c>
      <c r="F9">
        <f t="shared" si="1"/>
        <v>6</v>
      </c>
      <c r="G9" s="4">
        <f t="shared" si="2"/>
        <v>3.5000000009313226</v>
      </c>
      <c r="H9">
        <f>IF(COUNTIFS(B$2:B9,B9,E$2:E9,E9)=1,1,0)</f>
        <v>0</v>
      </c>
      <c r="I9">
        <f>IF(COUNTIFS(B$2:B9,B9,F$2:F9,F9)=1,1,0)</f>
        <v>0</v>
      </c>
    </row>
    <row r="10" spans="1:9" x14ac:dyDescent="0.3">
      <c r="A10">
        <v>20</v>
      </c>
      <c r="B10">
        <v>8</v>
      </c>
      <c r="C10" s="2">
        <v>44742.495891203704</v>
      </c>
      <c r="D10" s="2">
        <v>44742.503657407404</v>
      </c>
      <c r="E10" s="3">
        <f t="shared" si="0"/>
        <v>44742</v>
      </c>
      <c r="F10">
        <f t="shared" si="1"/>
        <v>6</v>
      </c>
      <c r="G10" s="4">
        <f t="shared" si="2"/>
        <v>11.183333328226581</v>
      </c>
      <c r="H10">
        <f>IF(COUNTIFS(B$2:B10,B10,E$2:E10,E10)=1,1,0)</f>
        <v>0</v>
      </c>
      <c r="I10">
        <f>IF(COUNTIFS(B$2:B10,B10,F$2:F10,F10)=1,1,0)</f>
        <v>0</v>
      </c>
    </row>
    <row r="11" spans="1:9" x14ac:dyDescent="0.3">
      <c r="A11">
        <v>21</v>
      </c>
      <c r="B11">
        <v>8</v>
      </c>
      <c r="C11" s="2">
        <v>44742.765625</v>
      </c>
      <c r="D11" s="2">
        <v>44742.771608796298</v>
      </c>
      <c r="E11" s="3">
        <f t="shared" si="0"/>
        <v>44742</v>
      </c>
      <c r="F11">
        <f t="shared" si="1"/>
        <v>6</v>
      </c>
      <c r="G11" s="4">
        <f t="shared" si="2"/>
        <v>8.6166666692588478</v>
      </c>
      <c r="H11">
        <f>IF(COUNTIFS(B$2:B11,B11,E$2:E11,E11)=1,1,0)</f>
        <v>0</v>
      </c>
      <c r="I11">
        <f>IF(COUNTIFS(B$2:B11,B11,F$2:F11,F11)=1,1,0)</f>
        <v>0</v>
      </c>
    </row>
    <row r="12" spans="1:9" x14ac:dyDescent="0.3">
      <c r="A12">
        <v>22</v>
      </c>
      <c r="B12">
        <v>8</v>
      </c>
      <c r="C12" s="2">
        <v>44742.998298611114</v>
      </c>
      <c r="D12" s="2">
        <v>44743.004745370374</v>
      </c>
      <c r="E12" s="3">
        <f t="shared" si="0"/>
        <v>44742</v>
      </c>
      <c r="F12">
        <f t="shared" si="1"/>
        <v>6</v>
      </c>
      <c r="G12" s="4">
        <f t="shared" si="2"/>
        <v>9.2833333346061409</v>
      </c>
      <c r="H12">
        <f>IF(COUNTIFS(B$2:B12,B12,E$2:E12,E12)=1,1,0)</f>
        <v>0</v>
      </c>
      <c r="I12">
        <f>IF(COUNTIFS(B$2:B12,B12,F$2:F12,F12)=1,1,0)</f>
        <v>0</v>
      </c>
    </row>
    <row r="13" spans="1:9" x14ac:dyDescent="0.3">
      <c r="A13">
        <v>23</v>
      </c>
      <c r="B13">
        <v>8</v>
      </c>
      <c r="C13" s="2">
        <v>44743.125625000001</v>
      </c>
      <c r="D13" s="2">
        <v>44743.135717592595</v>
      </c>
      <c r="E13" s="3">
        <f t="shared" si="0"/>
        <v>44743</v>
      </c>
      <c r="F13">
        <f t="shared" si="1"/>
        <v>7</v>
      </c>
      <c r="G13" s="4">
        <f t="shared" si="2"/>
        <v>14.533333336003125</v>
      </c>
      <c r="H13">
        <f>IF(COUNTIFS(B$2:B13,B13,E$2:E13,E13)=1,1,0)</f>
        <v>1</v>
      </c>
      <c r="I13">
        <f>IF(COUNTIFS(B$2:B13,B13,F$2:F13,F13)=1,1,0)</f>
        <v>1</v>
      </c>
    </row>
    <row r="14" spans="1:9" x14ac:dyDescent="0.3">
      <c r="A14">
        <v>24</v>
      </c>
      <c r="B14">
        <v>8</v>
      </c>
      <c r="C14" s="2">
        <v>44743.386319444442</v>
      </c>
      <c r="D14" s="2">
        <v>44743.393020833333</v>
      </c>
      <c r="E14" s="3">
        <f t="shared" si="0"/>
        <v>44743</v>
      </c>
      <c r="F14">
        <f t="shared" si="1"/>
        <v>7</v>
      </c>
      <c r="G14" s="4">
        <f t="shared" si="2"/>
        <v>9.6500000031664968</v>
      </c>
      <c r="H14">
        <f>IF(COUNTIFS(B$2:B14,B14,E$2:E14,E14)=1,1,0)</f>
        <v>0</v>
      </c>
      <c r="I14">
        <f>IF(COUNTIFS(B$2:B14,B14,F$2:F14,F14)=1,1,0)</f>
        <v>0</v>
      </c>
    </row>
    <row r="15" spans="1:9" x14ac:dyDescent="0.3">
      <c r="A15">
        <v>25</v>
      </c>
      <c r="B15">
        <v>8</v>
      </c>
      <c r="C15" s="2">
        <v>44743.519097222219</v>
      </c>
      <c r="D15" s="2">
        <v>44743.521631944444</v>
      </c>
      <c r="E15" s="3">
        <f t="shared" si="0"/>
        <v>44743</v>
      </c>
      <c r="F15">
        <f t="shared" si="1"/>
        <v>7</v>
      </c>
      <c r="G15" s="4">
        <f t="shared" si="2"/>
        <v>3.6500000045634806</v>
      </c>
      <c r="H15">
        <f>IF(COUNTIFS(B$2:B15,B15,E$2:E15,E15)=1,1,0)</f>
        <v>0</v>
      </c>
      <c r="I15">
        <f>IF(COUNTIFS(B$2:B15,B15,F$2:F15,F15)=1,1,0)</f>
        <v>0</v>
      </c>
    </row>
    <row r="16" spans="1:9" x14ac:dyDescent="0.3">
      <c r="A16">
        <v>26</v>
      </c>
      <c r="B16">
        <v>8</v>
      </c>
      <c r="C16" s="2">
        <v>44743.659039351849</v>
      </c>
      <c r="D16" s="2">
        <v>44743.665555555555</v>
      </c>
      <c r="E16" s="3">
        <f t="shared" si="0"/>
        <v>44743</v>
      </c>
      <c r="F16">
        <f t="shared" si="1"/>
        <v>7</v>
      </c>
      <c r="G16" s="4">
        <f t="shared" si="2"/>
        <v>9.3833333370275795</v>
      </c>
      <c r="H16">
        <f>IF(COUNTIFS(B$2:B16,B16,E$2:E16,E16)=1,1,0)</f>
        <v>0</v>
      </c>
      <c r="I16">
        <f>IF(COUNTIFS(B$2:B16,B16,F$2:F16,F16)=1,1,0)</f>
        <v>0</v>
      </c>
    </row>
    <row r="17" spans="1:9" x14ac:dyDescent="0.3">
      <c r="A17">
        <v>27</v>
      </c>
      <c r="B17">
        <v>8</v>
      </c>
      <c r="C17" s="2">
        <v>44743.826678240737</v>
      </c>
      <c r="D17" s="2">
        <v>44743.834988425922</v>
      </c>
      <c r="E17" s="3">
        <f t="shared" si="0"/>
        <v>44743</v>
      </c>
      <c r="F17">
        <f t="shared" si="1"/>
        <v>7</v>
      </c>
      <c r="G17" s="4">
        <f t="shared" si="2"/>
        <v>11.966666666558012</v>
      </c>
      <c r="H17">
        <f>IF(COUNTIFS(B$2:B17,B17,E$2:E17,E17)=1,1,0)</f>
        <v>0</v>
      </c>
      <c r="I17">
        <f>IF(COUNTIFS(B$2:B17,B17,F$2:F17,F17)=1,1,0)</f>
        <v>0</v>
      </c>
    </row>
    <row r="18" spans="1:9" x14ac:dyDescent="0.3">
      <c r="A18">
        <v>28</v>
      </c>
      <c r="B18">
        <v>8</v>
      </c>
      <c r="C18" s="2">
        <v>44744.082280092596</v>
      </c>
      <c r="D18" s="2">
        <v>44744.088275462964</v>
      </c>
      <c r="E18" s="3">
        <f t="shared" si="0"/>
        <v>44744</v>
      </c>
      <c r="F18">
        <f t="shared" si="1"/>
        <v>7</v>
      </c>
      <c r="G18" s="4">
        <f t="shared" si="2"/>
        <v>8.6333333293441683</v>
      </c>
      <c r="H18">
        <f>IF(COUNTIFS(B$2:B18,B18,E$2:E18,E18)=1,1,0)</f>
        <v>1</v>
      </c>
      <c r="I18">
        <f>IF(COUNTIFS(B$2:B18,B18,F$2:F18,F18)=1,1,0)</f>
        <v>0</v>
      </c>
    </row>
    <row r="19" spans="1:9" x14ac:dyDescent="0.3">
      <c r="A19">
        <v>29</v>
      </c>
      <c r="B19">
        <v>8</v>
      </c>
      <c r="C19" s="2">
        <v>44744.375578703701</v>
      </c>
      <c r="D19" s="2">
        <v>44744.382372685184</v>
      </c>
      <c r="E19" s="3">
        <f t="shared" si="0"/>
        <v>44744</v>
      </c>
      <c r="F19">
        <f t="shared" si="1"/>
        <v>7</v>
      </c>
      <c r="G19" s="4">
        <f t="shared" si="2"/>
        <v>9.7833333362359554</v>
      </c>
      <c r="H19">
        <f>IF(COUNTIFS(B$2:B19,B19,E$2:E19,E19)=1,1,0)</f>
        <v>0</v>
      </c>
      <c r="I19">
        <f>IF(COUNTIFS(B$2:B19,B19,F$2:F19,F19)=1,1,0)</f>
        <v>0</v>
      </c>
    </row>
    <row r="20" spans="1:9" x14ac:dyDescent="0.3">
      <c r="A20">
        <v>30</v>
      </c>
      <c r="B20">
        <v>8</v>
      </c>
      <c r="C20" s="2">
        <v>44744.638935185183</v>
      </c>
      <c r="D20" s="2">
        <v>44744.64770833333</v>
      </c>
      <c r="E20" s="3">
        <f t="shared" si="0"/>
        <v>44744</v>
      </c>
      <c r="F20">
        <f t="shared" si="1"/>
        <v>7</v>
      </c>
      <c r="G20" s="4">
        <f t="shared" si="2"/>
        <v>12.633333331905305</v>
      </c>
      <c r="H20">
        <f>IF(COUNTIFS(B$2:B20,B20,E$2:E20,E20)=1,1,0)</f>
        <v>0</v>
      </c>
      <c r="I20">
        <f>IF(COUNTIFS(B$2:B20,B20,F$2:F20,F20)=1,1,0)</f>
        <v>0</v>
      </c>
    </row>
    <row r="21" spans="1:9" x14ac:dyDescent="0.3">
      <c r="A21">
        <v>31</v>
      </c>
      <c r="B21">
        <v>8</v>
      </c>
      <c r="C21" s="2">
        <v>44744.731238425928</v>
      </c>
      <c r="D21" s="2">
        <v>44744.737962962965</v>
      </c>
      <c r="E21" s="3">
        <f t="shared" si="0"/>
        <v>44744</v>
      </c>
      <c r="F21">
        <f t="shared" si="1"/>
        <v>7</v>
      </c>
      <c r="G21" s="4">
        <f t="shared" si="2"/>
        <v>9.6833333338145167</v>
      </c>
      <c r="H21">
        <f>IF(COUNTIFS(B$2:B21,B21,E$2:E21,E21)=1,1,0)</f>
        <v>0</v>
      </c>
      <c r="I21">
        <f>IF(COUNTIFS(B$2:B21,B21,F$2:F21,F21)=1,1,0)</f>
        <v>0</v>
      </c>
    </row>
    <row r="22" spans="1:9" x14ac:dyDescent="0.3">
      <c r="A22">
        <v>32</v>
      </c>
      <c r="B22">
        <v>8</v>
      </c>
      <c r="C22" s="2">
        <v>44744.783587962964</v>
      </c>
      <c r="D22" s="2">
        <v>44744.786400462966</v>
      </c>
      <c r="E22" s="3">
        <f t="shared" si="0"/>
        <v>44744</v>
      </c>
      <c r="F22">
        <f t="shared" si="1"/>
        <v>7</v>
      </c>
      <c r="G22" s="4">
        <f t="shared" si="2"/>
        <v>4.0500000037718564</v>
      </c>
      <c r="H22">
        <f>IF(COUNTIFS(B$2:B22,B22,E$2:E22,E22)=1,1,0)</f>
        <v>0</v>
      </c>
      <c r="I22">
        <f>IF(COUNTIFS(B$2:B22,B22,F$2:F22,F22)=1,1,0)</f>
        <v>0</v>
      </c>
    </row>
    <row r="23" spans="1:9" x14ac:dyDescent="0.3">
      <c r="A23">
        <v>33</v>
      </c>
      <c r="B23">
        <v>8</v>
      </c>
      <c r="C23" s="2">
        <v>44744.868784722225</v>
      </c>
      <c r="D23" s="2">
        <v>44744.874224537038</v>
      </c>
      <c r="E23" s="3">
        <f t="shared" si="0"/>
        <v>44744</v>
      </c>
      <c r="F23">
        <f t="shared" si="1"/>
        <v>7</v>
      </c>
      <c r="G23" s="4">
        <f t="shared" si="2"/>
        <v>7.8333333309274167</v>
      </c>
      <c r="H23">
        <f>IF(COUNTIFS(B$2:B23,B23,E$2:E23,E23)=1,1,0)</f>
        <v>0</v>
      </c>
      <c r="I23">
        <f>IF(COUNTIFS(B$2:B23,B23,F$2:F23,F23)=1,1,0)</f>
        <v>0</v>
      </c>
    </row>
    <row r="24" spans="1:9" x14ac:dyDescent="0.3">
      <c r="A24">
        <v>34</v>
      </c>
      <c r="B24">
        <v>8</v>
      </c>
      <c r="C24" s="2">
        <v>44744.926724537036</v>
      </c>
      <c r="D24" s="2">
        <v>44744.929594907408</v>
      </c>
      <c r="E24" s="3">
        <f t="shared" si="0"/>
        <v>44744</v>
      </c>
      <c r="F24">
        <f t="shared" si="1"/>
        <v>7</v>
      </c>
      <c r="G24" s="4">
        <f t="shared" si="2"/>
        <v>4.1333333356305957</v>
      </c>
      <c r="H24">
        <f>IF(COUNTIFS(B$2:B24,B24,E$2:E24,E24)=1,1,0)</f>
        <v>0</v>
      </c>
      <c r="I24">
        <f>IF(COUNTIFS(B$2:B24,B24,F$2:F24,F24)=1,1,0)</f>
        <v>0</v>
      </c>
    </row>
    <row r="25" spans="1:9" x14ac:dyDescent="0.3">
      <c r="A25">
        <v>35</v>
      </c>
      <c r="B25">
        <v>8</v>
      </c>
      <c r="C25" s="2">
        <v>44745.174363425926</v>
      </c>
      <c r="D25" s="2">
        <v>44745.183587962965</v>
      </c>
      <c r="E25" s="3">
        <f t="shared" si="0"/>
        <v>44745</v>
      </c>
      <c r="F25">
        <f t="shared" si="1"/>
        <v>7</v>
      </c>
      <c r="G25" s="4">
        <f t="shared" si="2"/>
        <v>13.283333337167278</v>
      </c>
      <c r="H25">
        <f>IF(COUNTIFS(B$2:B25,B25,E$2:E25,E25)=1,1,0)</f>
        <v>1</v>
      </c>
      <c r="I25">
        <f>IF(COUNTIFS(B$2:B25,B25,F$2:F25,F25)=1,1,0)</f>
        <v>0</v>
      </c>
    </row>
    <row r="26" spans="1:9" x14ac:dyDescent="0.3">
      <c r="A26">
        <v>36</v>
      </c>
      <c r="B26">
        <v>8</v>
      </c>
      <c r="C26" s="2">
        <v>44745.398576388892</v>
      </c>
      <c r="D26" s="2">
        <v>44745.405312499999</v>
      </c>
      <c r="E26" s="3">
        <f t="shared" si="0"/>
        <v>44745</v>
      </c>
      <c r="F26">
        <f t="shared" si="1"/>
        <v>7</v>
      </c>
      <c r="G26" s="4">
        <f t="shared" si="2"/>
        <v>9.6999999938998371</v>
      </c>
      <c r="H26">
        <f>IF(COUNTIFS(B$2:B26,B26,E$2:E26,E26)=1,1,0)</f>
        <v>0</v>
      </c>
      <c r="I26">
        <f>IF(COUNTIFS(B$2:B26,B26,F$2:F26,F26)=1,1,0)</f>
        <v>0</v>
      </c>
    </row>
    <row r="27" spans="1:9" x14ac:dyDescent="0.3">
      <c r="A27">
        <v>37</v>
      </c>
      <c r="B27">
        <v>8</v>
      </c>
      <c r="C27" s="2">
        <v>44745.747916666667</v>
      </c>
      <c r="D27" s="2">
        <v>44745.753483796296</v>
      </c>
      <c r="E27" s="3">
        <f t="shared" si="0"/>
        <v>44745</v>
      </c>
      <c r="F27">
        <f t="shared" si="1"/>
        <v>7</v>
      </c>
      <c r="G27" s="4">
        <f t="shared" si="2"/>
        <v>8.0166666652075946</v>
      </c>
      <c r="H27">
        <f>IF(COUNTIFS(B$2:B27,B27,E$2:E27,E27)=1,1,0)</f>
        <v>0</v>
      </c>
      <c r="I27">
        <f>IF(COUNTIFS(B$2:B27,B27,F$2:F27,F27)=1,1,0)</f>
        <v>0</v>
      </c>
    </row>
    <row r="28" spans="1:9" x14ac:dyDescent="0.3">
      <c r="A28">
        <v>38</v>
      </c>
      <c r="B28">
        <v>8</v>
      </c>
      <c r="C28" s="2">
        <v>44745.918865740743</v>
      </c>
      <c r="D28" s="2">
        <v>44745.925682870373</v>
      </c>
      <c r="E28" s="3">
        <f t="shared" si="0"/>
        <v>44745</v>
      </c>
      <c r="F28">
        <f t="shared" si="1"/>
        <v>7</v>
      </c>
      <c r="G28" s="4">
        <f t="shared" si="2"/>
        <v>9.8166666668839753</v>
      </c>
      <c r="H28">
        <f>IF(COUNTIFS(B$2:B28,B28,E$2:E28,E28)=1,1,0)</f>
        <v>0</v>
      </c>
      <c r="I28">
        <f>IF(COUNTIFS(B$2:B28,B28,F$2:F28,F28)=1,1,0)</f>
        <v>0</v>
      </c>
    </row>
    <row r="29" spans="1:9" x14ac:dyDescent="0.3">
      <c r="A29">
        <v>39</v>
      </c>
      <c r="B29">
        <v>8</v>
      </c>
      <c r="C29" s="2">
        <v>44746.098576388889</v>
      </c>
      <c r="D29" s="2">
        <v>44746.104212962964</v>
      </c>
      <c r="E29" s="3">
        <f t="shared" si="0"/>
        <v>44746</v>
      </c>
      <c r="F29">
        <f t="shared" si="1"/>
        <v>7</v>
      </c>
      <c r="G29" s="4">
        <f t="shared" si="2"/>
        <v>8.1166666676290333</v>
      </c>
      <c r="H29">
        <f>IF(COUNTIFS(B$2:B29,B29,E$2:E29,E29)=1,1,0)</f>
        <v>1</v>
      </c>
      <c r="I29">
        <f>IF(COUNTIFS(B$2:B29,B29,F$2:F29,F29)=1,1,0)</f>
        <v>0</v>
      </c>
    </row>
    <row r="30" spans="1:9" x14ac:dyDescent="0.3">
      <c r="A30">
        <v>40</v>
      </c>
      <c r="B30">
        <v>9</v>
      </c>
      <c r="C30" s="2">
        <v>44721.013668981483</v>
      </c>
      <c r="D30" s="2">
        <v>44721.018379629626</v>
      </c>
      <c r="E30" s="3">
        <f t="shared" si="0"/>
        <v>44721</v>
      </c>
      <c r="F30">
        <f t="shared" si="1"/>
        <v>6</v>
      </c>
      <c r="G30" s="4">
        <f t="shared" si="2"/>
        <v>6.7833333264570683</v>
      </c>
      <c r="H30">
        <f>IF(COUNTIFS(B$2:B30,B30,E$2:E30,E30)=1,1,0)</f>
        <v>1</v>
      </c>
      <c r="I30">
        <f>IF(COUNTIFS(B$2:B30,B30,F$2:F30,F30)=1,1,0)</f>
        <v>1</v>
      </c>
    </row>
    <row r="31" spans="1:9" x14ac:dyDescent="0.3">
      <c r="A31">
        <v>41</v>
      </c>
      <c r="B31">
        <v>9</v>
      </c>
      <c r="C31" s="2">
        <v>44721.350555555553</v>
      </c>
      <c r="D31" s="2">
        <v>44721.356898148151</v>
      </c>
      <c r="E31" s="3">
        <f t="shared" si="0"/>
        <v>44721</v>
      </c>
      <c r="F31">
        <f t="shared" si="1"/>
        <v>6</v>
      </c>
      <c r="G31" s="4">
        <f t="shared" si="2"/>
        <v>9.1333333414513618</v>
      </c>
      <c r="H31">
        <f>IF(COUNTIFS(B$2:B31,B31,E$2:E31,E31)=1,1,0)</f>
        <v>0</v>
      </c>
      <c r="I31">
        <f>IF(COUNTIFS(B$2:B31,B31,F$2:F31,F31)=1,1,0)</f>
        <v>0</v>
      </c>
    </row>
    <row r="32" spans="1:9" x14ac:dyDescent="0.3">
      <c r="A32">
        <v>42</v>
      </c>
      <c r="B32">
        <v>9</v>
      </c>
      <c r="C32" s="2">
        <v>44721.50335648148</v>
      </c>
      <c r="D32" s="2">
        <v>44721.51</v>
      </c>
      <c r="E32" s="3">
        <f t="shared" si="0"/>
        <v>44721</v>
      </c>
      <c r="F32">
        <f t="shared" si="1"/>
        <v>6</v>
      </c>
      <c r="G32" s="4">
        <f t="shared" si="2"/>
        <v>9.5666666713077575</v>
      </c>
      <c r="H32">
        <f>IF(COUNTIFS(B$2:B32,B32,E$2:E32,E32)=1,1,0)</f>
        <v>0</v>
      </c>
      <c r="I32">
        <f>IF(COUNTIFS(B$2:B32,B32,F$2:F32,F32)=1,1,0)</f>
        <v>0</v>
      </c>
    </row>
    <row r="33" spans="1:9" x14ac:dyDescent="0.3">
      <c r="A33">
        <v>43</v>
      </c>
      <c r="B33">
        <v>9</v>
      </c>
      <c r="C33" s="2">
        <v>44721.581643518519</v>
      </c>
      <c r="D33" s="2">
        <v>44721.587812500002</v>
      </c>
      <c r="E33" s="3">
        <f t="shared" si="0"/>
        <v>44721</v>
      </c>
      <c r="F33">
        <f t="shared" si="1"/>
        <v>6</v>
      </c>
      <c r="G33" s="4">
        <f t="shared" si="2"/>
        <v>8.883333335397765</v>
      </c>
      <c r="H33">
        <f>IF(COUNTIFS(B$2:B33,B33,E$2:E33,E33)=1,1,0)</f>
        <v>0</v>
      </c>
      <c r="I33">
        <f>IF(COUNTIFS(B$2:B33,B33,F$2:F33,F33)=1,1,0)</f>
        <v>0</v>
      </c>
    </row>
    <row r="34" spans="1:9" x14ac:dyDescent="0.3">
      <c r="A34">
        <v>44</v>
      </c>
      <c r="B34">
        <v>9</v>
      </c>
      <c r="C34" s="2">
        <v>44721.813506944447</v>
      </c>
      <c r="D34" s="2">
        <v>44721.820891203701</v>
      </c>
      <c r="E34" s="3">
        <f t="shared" si="0"/>
        <v>44721</v>
      </c>
      <c r="F34">
        <f t="shared" si="1"/>
        <v>6</v>
      </c>
      <c r="G34" s="4">
        <f t="shared" si="2"/>
        <v>10.633333325386047</v>
      </c>
      <c r="H34">
        <f>IF(COUNTIFS(B$2:B34,B34,E$2:E34,E34)=1,1,0)</f>
        <v>0</v>
      </c>
      <c r="I34">
        <f>IF(COUNTIFS(B$2:B34,B34,F$2:F34,F34)=1,1,0)</f>
        <v>0</v>
      </c>
    </row>
    <row r="35" spans="1:9" x14ac:dyDescent="0.3">
      <c r="A35">
        <v>45</v>
      </c>
      <c r="B35">
        <v>9</v>
      </c>
      <c r="C35" s="2">
        <v>44722.03497685185</v>
      </c>
      <c r="D35" s="2">
        <v>44722.04010416667</v>
      </c>
      <c r="E35" s="3">
        <f t="shared" si="0"/>
        <v>44722</v>
      </c>
      <c r="F35">
        <f t="shared" si="1"/>
        <v>6</v>
      </c>
      <c r="G35" s="4">
        <f t="shared" si="2"/>
        <v>7.3833333409857005</v>
      </c>
      <c r="H35">
        <f>IF(COUNTIFS(B$2:B35,B35,E$2:E35,E35)=1,1,0)</f>
        <v>1</v>
      </c>
      <c r="I35">
        <f>IF(COUNTIFS(B$2:B35,B35,F$2:F35,F35)=1,1,0)</f>
        <v>0</v>
      </c>
    </row>
    <row r="36" spans="1:9" x14ac:dyDescent="0.3">
      <c r="A36">
        <v>46</v>
      </c>
      <c r="B36">
        <v>9</v>
      </c>
      <c r="C36" s="2">
        <v>44722.332604166666</v>
      </c>
      <c r="D36" s="2">
        <v>44722.340289351851</v>
      </c>
      <c r="E36" s="3">
        <f t="shared" si="0"/>
        <v>44722</v>
      </c>
      <c r="F36">
        <f t="shared" si="1"/>
        <v>6</v>
      </c>
      <c r="G36" s="4">
        <f t="shared" si="2"/>
        <v>11.066666665719822</v>
      </c>
      <c r="H36">
        <f>IF(COUNTIFS(B$2:B36,B36,E$2:E36,E36)=1,1,0)</f>
        <v>0</v>
      </c>
      <c r="I36">
        <f>IF(COUNTIFS(B$2:B36,B36,F$2:F36,F36)=1,1,0)</f>
        <v>0</v>
      </c>
    </row>
    <row r="37" spans="1:9" x14ac:dyDescent="0.3">
      <c r="A37">
        <v>47</v>
      </c>
      <c r="B37">
        <v>9</v>
      </c>
      <c r="C37" s="2">
        <v>44722.647129629629</v>
      </c>
      <c r="D37" s="2">
        <v>44722.65121527778</v>
      </c>
      <c r="E37" s="3">
        <f t="shared" si="0"/>
        <v>44722</v>
      </c>
      <c r="F37">
        <f t="shared" si="1"/>
        <v>6</v>
      </c>
      <c r="G37" s="4">
        <f t="shared" si="2"/>
        <v>5.883333336096257</v>
      </c>
      <c r="H37">
        <f>IF(COUNTIFS(B$2:B37,B37,E$2:E37,E37)=1,1,0)</f>
        <v>0</v>
      </c>
      <c r="I37">
        <f>IF(COUNTIFS(B$2:B37,B37,F$2:F37,F37)=1,1,0)</f>
        <v>0</v>
      </c>
    </row>
    <row r="38" spans="1:9" x14ac:dyDescent="0.3">
      <c r="A38">
        <v>48</v>
      </c>
      <c r="B38">
        <v>9</v>
      </c>
      <c r="C38" s="2">
        <v>44722.965277777781</v>
      </c>
      <c r="D38" s="2">
        <v>44722.971956018519</v>
      </c>
      <c r="E38" s="3">
        <f t="shared" si="0"/>
        <v>44722</v>
      </c>
      <c r="F38">
        <f t="shared" si="1"/>
        <v>6</v>
      </c>
      <c r="G38" s="4">
        <f t="shared" si="2"/>
        <v>9.6166666620410979</v>
      </c>
      <c r="H38">
        <f>IF(COUNTIFS(B$2:B38,B38,E$2:E38,E38)=1,1,0)</f>
        <v>0</v>
      </c>
      <c r="I38">
        <f>IF(COUNTIFS(B$2:B38,B38,F$2:F38,F38)=1,1,0)</f>
        <v>0</v>
      </c>
    </row>
    <row r="39" spans="1:9" x14ac:dyDescent="0.3">
      <c r="A39">
        <v>49</v>
      </c>
      <c r="B39">
        <v>9</v>
      </c>
      <c r="C39" s="2">
        <v>44723.058645833335</v>
      </c>
      <c r="D39" s="2">
        <v>44723.066747685189</v>
      </c>
      <c r="E39" s="3">
        <f t="shared" si="0"/>
        <v>44723</v>
      </c>
      <c r="F39">
        <f t="shared" si="1"/>
        <v>6</v>
      </c>
      <c r="G39" s="4">
        <f t="shared" si="2"/>
        <v>11.666666669771075</v>
      </c>
      <c r="H39">
        <f>IF(COUNTIFS(B$2:B39,B39,E$2:E39,E39)=1,1,0)</f>
        <v>1</v>
      </c>
      <c r="I39">
        <f>IF(COUNTIFS(B$2:B39,B39,F$2:F39,F39)=1,1,0)</f>
        <v>0</v>
      </c>
    </row>
    <row r="40" spans="1:9" x14ac:dyDescent="0.3">
      <c r="A40">
        <v>50</v>
      </c>
      <c r="B40">
        <v>9</v>
      </c>
      <c r="C40" s="2">
        <v>44723.215555555558</v>
      </c>
      <c r="D40" s="2">
        <v>44723.22146990741</v>
      </c>
      <c r="E40" s="3">
        <f t="shared" si="0"/>
        <v>44723</v>
      </c>
      <c r="F40">
        <f t="shared" si="1"/>
        <v>6</v>
      </c>
      <c r="G40" s="4">
        <f t="shared" si="2"/>
        <v>8.5166666668374091</v>
      </c>
      <c r="H40">
        <f>IF(COUNTIFS(B$2:B40,B40,E$2:E40,E40)=1,1,0)</f>
        <v>0</v>
      </c>
      <c r="I40">
        <f>IF(COUNTIFS(B$2:B40,B40,F$2:F40,F40)=1,1,0)</f>
        <v>0</v>
      </c>
    </row>
    <row r="41" spans="1:9" x14ac:dyDescent="0.3">
      <c r="A41">
        <v>51</v>
      </c>
      <c r="B41">
        <v>9</v>
      </c>
      <c r="C41" s="2">
        <v>44723.352673611109</v>
      </c>
      <c r="D41" s="2">
        <v>44723.362858796296</v>
      </c>
      <c r="E41" s="3">
        <f t="shared" si="0"/>
        <v>44723</v>
      </c>
      <c r="F41">
        <f t="shared" si="1"/>
        <v>6</v>
      </c>
      <c r="G41" s="4">
        <f t="shared" si="2"/>
        <v>14.666666669072583</v>
      </c>
      <c r="H41">
        <f>IF(COUNTIFS(B$2:B41,B41,E$2:E41,E41)=1,1,0)</f>
        <v>0</v>
      </c>
      <c r="I41">
        <f>IF(COUNTIFS(B$2:B41,B41,F$2:F41,F41)=1,1,0)</f>
        <v>0</v>
      </c>
    </row>
    <row r="42" spans="1:9" x14ac:dyDescent="0.3">
      <c r="A42">
        <v>52</v>
      </c>
      <c r="B42">
        <v>9</v>
      </c>
      <c r="C42" s="2">
        <v>44723.692685185182</v>
      </c>
      <c r="D42" s="2">
        <v>44723.699571759258</v>
      </c>
      <c r="E42" s="3">
        <f t="shared" si="0"/>
        <v>44723</v>
      </c>
      <c r="F42">
        <f t="shared" si="1"/>
        <v>6</v>
      </c>
      <c r="G42" s="4">
        <f t="shared" si="2"/>
        <v>9.916666669305414</v>
      </c>
      <c r="H42">
        <f>IF(COUNTIFS(B$2:B42,B42,E$2:E42,E42)=1,1,0)</f>
        <v>0</v>
      </c>
      <c r="I42">
        <f>IF(COUNTIFS(B$2:B42,B42,F$2:F42,F42)=1,1,0)</f>
        <v>0</v>
      </c>
    </row>
    <row r="43" spans="1:9" x14ac:dyDescent="0.3">
      <c r="A43">
        <v>53</v>
      </c>
      <c r="B43">
        <v>9</v>
      </c>
      <c r="C43" s="2">
        <v>44723.745648148149</v>
      </c>
      <c r="D43" s="2">
        <v>44723.756238425929</v>
      </c>
      <c r="E43" s="3">
        <f t="shared" si="0"/>
        <v>44723</v>
      </c>
      <c r="F43">
        <f t="shared" si="1"/>
        <v>6</v>
      </c>
      <c r="G43" s="4">
        <f t="shared" si="2"/>
        <v>15.250000002561137</v>
      </c>
      <c r="H43">
        <f>IF(COUNTIFS(B$2:B43,B43,E$2:E43,E43)=1,1,0)</f>
        <v>0</v>
      </c>
      <c r="I43">
        <f>IF(COUNTIFS(B$2:B43,B43,F$2:F43,F43)=1,1,0)</f>
        <v>0</v>
      </c>
    </row>
    <row r="44" spans="1:9" x14ac:dyDescent="0.3">
      <c r="A44">
        <v>54</v>
      </c>
      <c r="B44">
        <v>9</v>
      </c>
      <c r="C44" s="2">
        <v>44723.860717592594</v>
      </c>
      <c r="D44" s="2">
        <v>44723.861979166664</v>
      </c>
      <c r="E44" s="3">
        <f t="shared" si="0"/>
        <v>44723</v>
      </c>
      <c r="F44">
        <f t="shared" si="1"/>
        <v>6</v>
      </c>
      <c r="G44" s="4">
        <f t="shared" si="2"/>
        <v>1.8166666617617011</v>
      </c>
      <c r="H44">
        <f>IF(COUNTIFS(B$2:B44,B44,E$2:E44,E44)=1,1,0)</f>
        <v>0</v>
      </c>
      <c r="I44">
        <f>IF(COUNTIFS(B$2:B44,B44,F$2:F44,F44)=1,1,0)</f>
        <v>0</v>
      </c>
    </row>
    <row r="45" spans="1:9" x14ac:dyDescent="0.3">
      <c r="A45">
        <v>55</v>
      </c>
      <c r="B45">
        <v>9</v>
      </c>
      <c r="C45" s="2">
        <v>44724.027731481481</v>
      </c>
      <c r="D45" s="2">
        <v>44724.037372685183</v>
      </c>
      <c r="E45" s="3">
        <f t="shared" si="0"/>
        <v>44724</v>
      </c>
      <c r="F45">
        <f t="shared" si="1"/>
        <v>6</v>
      </c>
      <c r="G45" s="4">
        <f t="shared" si="2"/>
        <v>13.883333330741152</v>
      </c>
      <c r="H45">
        <f>IF(COUNTIFS(B$2:B45,B45,E$2:E45,E45)=1,1,0)</f>
        <v>1</v>
      </c>
      <c r="I45">
        <f>IF(COUNTIFS(B$2:B45,B45,F$2:F45,F45)=1,1,0)</f>
        <v>0</v>
      </c>
    </row>
    <row r="46" spans="1:9" x14ac:dyDescent="0.3">
      <c r="A46">
        <v>56</v>
      </c>
      <c r="B46">
        <v>10</v>
      </c>
      <c r="C46" s="2">
        <v>44628.620243055557</v>
      </c>
      <c r="D46" s="2">
        <v>44628.62605324074</v>
      </c>
      <c r="E46" s="3">
        <f t="shared" si="0"/>
        <v>44628</v>
      </c>
      <c r="F46">
        <f t="shared" si="1"/>
        <v>3</v>
      </c>
      <c r="G46" s="4">
        <f t="shared" si="2"/>
        <v>8.3666666632052511</v>
      </c>
      <c r="H46">
        <f>IF(COUNTIFS(B$2:B46,B46,E$2:E46,E46)=1,1,0)</f>
        <v>1</v>
      </c>
      <c r="I46">
        <f>IF(COUNTIFS(B$2:B46,B46,F$2:F46,F46)=1,1,0)</f>
        <v>1</v>
      </c>
    </row>
    <row r="47" spans="1:9" x14ac:dyDescent="0.3">
      <c r="A47">
        <v>57</v>
      </c>
      <c r="B47">
        <v>10</v>
      </c>
      <c r="C47" s="2">
        <v>44628.856956018521</v>
      </c>
      <c r="D47" s="2">
        <v>44628.862164351849</v>
      </c>
      <c r="E47" s="3">
        <f t="shared" si="0"/>
        <v>44628</v>
      </c>
      <c r="F47">
        <f t="shared" si="1"/>
        <v>3</v>
      </c>
      <c r="G47" s="4">
        <f t="shared" si="2"/>
        <v>7.4999999930150807</v>
      </c>
      <c r="H47">
        <f>IF(COUNTIFS(B$2:B47,B47,E$2:E47,E47)=1,1,0)</f>
        <v>0</v>
      </c>
      <c r="I47">
        <f>IF(COUNTIFS(B$2:B47,B47,F$2:F47,F47)=1,1,0)</f>
        <v>0</v>
      </c>
    </row>
    <row r="48" spans="1:9" x14ac:dyDescent="0.3">
      <c r="A48">
        <v>58</v>
      </c>
      <c r="B48">
        <v>10</v>
      </c>
      <c r="C48" s="2">
        <v>44629.186273148145</v>
      </c>
      <c r="D48" s="2">
        <v>44629.193796296298</v>
      </c>
      <c r="E48" s="3">
        <f t="shared" si="0"/>
        <v>44629</v>
      </c>
      <c r="F48">
        <f t="shared" si="1"/>
        <v>3</v>
      </c>
      <c r="G48" s="4">
        <f t="shared" si="2"/>
        <v>10.833333340706304</v>
      </c>
      <c r="H48">
        <f>IF(COUNTIFS(B$2:B48,B48,E$2:E48,E48)=1,1,0)</f>
        <v>1</v>
      </c>
      <c r="I48">
        <f>IF(COUNTIFS(B$2:B48,B48,F$2:F48,F48)=1,1,0)</f>
        <v>0</v>
      </c>
    </row>
    <row r="49" spans="1:9" x14ac:dyDescent="0.3">
      <c r="A49">
        <v>59</v>
      </c>
      <c r="B49">
        <v>11</v>
      </c>
      <c r="C49" s="2">
        <v>44923.631145833337</v>
      </c>
      <c r="D49" s="2">
        <v>44923.634120370371</v>
      </c>
      <c r="E49" s="3">
        <f t="shared" si="0"/>
        <v>44923</v>
      </c>
      <c r="F49">
        <f t="shared" si="1"/>
        <v>12</v>
      </c>
      <c r="G49" s="4">
        <f t="shared" si="2"/>
        <v>4.2833333287853748</v>
      </c>
      <c r="H49">
        <f>IF(COUNTIFS(B$2:B49,B49,E$2:E49,E49)=1,1,0)</f>
        <v>1</v>
      </c>
      <c r="I49">
        <f>IF(COUNTIFS(B$2:B49,B49,F$2:F49,F49)=1,1,0)</f>
        <v>1</v>
      </c>
    </row>
    <row r="50" spans="1:9" x14ac:dyDescent="0.3">
      <c r="A50">
        <v>60</v>
      </c>
      <c r="B50">
        <v>11</v>
      </c>
      <c r="C50" s="2">
        <v>44923.714641203704</v>
      </c>
      <c r="D50" s="2">
        <v>44923.719189814816</v>
      </c>
      <c r="E50" s="3">
        <f t="shared" si="0"/>
        <v>44923</v>
      </c>
      <c r="F50">
        <f t="shared" si="1"/>
        <v>12</v>
      </c>
      <c r="G50" s="4">
        <f t="shared" si="2"/>
        <v>6.55000000144355</v>
      </c>
      <c r="H50">
        <f>IF(COUNTIFS(B$2:B50,B50,E$2:E50,E50)=1,1,0)</f>
        <v>0</v>
      </c>
      <c r="I50">
        <f>IF(COUNTIFS(B$2:B50,B50,F$2:F50,F50)=1,1,0)</f>
        <v>0</v>
      </c>
    </row>
    <row r="51" spans="1:9" x14ac:dyDescent="0.3">
      <c r="A51">
        <v>61</v>
      </c>
      <c r="B51">
        <v>11</v>
      </c>
      <c r="C51" s="2">
        <v>44923.998703703706</v>
      </c>
      <c r="D51" s="2">
        <v>44924.007199074076</v>
      </c>
      <c r="E51" s="3">
        <f t="shared" si="0"/>
        <v>44923</v>
      </c>
      <c r="F51">
        <f t="shared" si="1"/>
        <v>12</v>
      </c>
      <c r="G51" s="4">
        <f t="shared" si="2"/>
        <v>12.23333333269693</v>
      </c>
      <c r="H51">
        <f>IF(COUNTIFS(B$2:B51,B51,E$2:E51,E51)=1,1,0)</f>
        <v>0</v>
      </c>
      <c r="I51">
        <f>IF(COUNTIFS(B$2:B51,B51,F$2:F51,F51)=1,1,0)</f>
        <v>0</v>
      </c>
    </row>
    <row r="52" spans="1:9" x14ac:dyDescent="0.3">
      <c r="A52">
        <v>62</v>
      </c>
      <c r="B52">
        <v>11</v>
      </c>
      <c r="C52" s="2">
        <v>44924.344537037039</v>
      </c>
      <c r="D52" s="2">
        <v>44924.348912037036</v>
      </c>
      <c r="E52" s="3">
        <f t="shared" si="0"/>
        <v>44924</v>
      </c>
      <c r="F52">
        <f t="shared" si="1"/>
        <v>12</v>
      </c>
      <c r="G52" s="4">
        <f t="shared" si="2"/>
        <v>6.2999999953899533</v>
      </c>
      <c r="H52">
        <f>IF(COUNTIFS(B$2:B52,B52,E$2:E52,E52)=1,1,0)</f>
        <v>1</v>
      </c>
      <c r="I52">
        <f>IF(COUNTIFS(B$2:B52,B52,F$2:F52,F52)=1,1,0)</f>
        <v>0</v>
      </c>
    </row>
    <row r="53" spans="1:9" x14ac:dyDescent="0.3">
      <c r="A53">
        <v>63</v>
      </c>
      <c r="B53">
        <v>11</v>
      </c>
      <c r="C53" s="2">
        <v>44924.526412037034</v>
      </c>
      <c r="D53" s="2">
        <v>44924.530023148145</v>
      </c>
      <c r="E53" s="3">
        <f t="shared" si="0"/>
        <v>44924</v>
      </c>
      <c r="F53">
        <f t="shared" si="1"/>
        <v>12</v>
      </c>
      <c r="G53" s="4">
        <f t="shared" si="2"/>
        <v>5.2000000001862645</v>
      </c>
      <c r="H53">
        <f>IF(COUNTIFS(B$2:B53,B53,E$2:E53,E53)=1,1,0)</f>
        <v>0</v>
      </c>
      <c r="I53">
        <f>IF(COUNTIFS(B$2:B53,B53,F$2:F53,F53)=1,1,0)</f>
        <v>0</v>
      </c>
    </row>
    <row r="54" spans="1:9" x14ac:dyDescent="0.3">
      <c r="A54">
        <v>64</v>
      </c>
      <c r="B54">
        <v>11</v>
      </c>
      <c r="C54" s="2">
        <v>44924.811909722222</v>
      </c>
      <c r="D54" s="2">
        <v>44924.81821759259</v>
      </c>
      <c r="E54" s="3">
        <f t="shared" si="0"/>
        <v>44924</v>
      </c>
      <c r="F54">
        <f t="shared" si="1"/>
        <v>12</v>
      </c>
      <c r="G54" s="4">
        <f t="shared" si="2"/>
        <v>9.0833333297632635</v>
      </c>
      <c r="H54">
        <f>IF(COUNTIFS(B$2:B54,B54,E$2:E54,E54)=1,1,0)</f>
        <v>0</v>
      </c>
      <c r="I54">
        <f>IF(COUNTIFS(B$2:B54,B54,F$2:F54,F54)=1,1,0)</f>
        <v>0</v>
      </c>
    </row>
    <row r="55" spans="1:9" x14ac:dyDescent="0.3">
      <c r="A55">
        <v>65</v>
      </c>
      <c r="B55">
        <v>11</v>
      </c>
      <c r="C55" s="2">
        <v>44925.155115740738</v>
      </c>
      <c r="D55" s="2">
        <v>44925.164305555554</v>
      </c>
      <c r="E55" s="3">
        <f t="shared" si="0"/>
        <v>44925</v>
      </c>
      <c r="F55">
        <f t="shared" si="1"/>
        <v>12</v>
      </c>
      <c r="G55" s="4">
        <f t="shared" si="2"/>
        <v>13.233333335956559</v>
      </c>
      <c r="H55">
        <f>IF(COUNTIFS(B$2:B55,B55,E$2:E55,E55)=1,1,0)</f>
        <v>1</v>
      </c>
      <c r="I55">
        <f>IF(COUNTIFS(B$2:B55,B55,F$2:F55,F55)=1,1,0)</f>
        <v>0</v>
      </c>
    </row>
    <row r="56" spans="1:9" x14ac:dyDescent="0.3">
      <c r="A56">
        <v>66</v>
      </c>
      <c r="B56">
        <v>12</v>
      </c>
      <c r="C56" s="2">
        <v>44733.647199074076</v>
      </c>
      <c r="D56" s="2">
        <v>44733.651307870372</v>
      </c>
      <c r="E56" s="3">
        <f t="shared" si="0"/>
        <v>44733</v>
      </c>
      <c r="F56">
        <f t="shared" si="1"/>
        <v>6</v>
      </c>
      <c r="G56" s="4">
        <f t="shared" si="2"/>
        <v>5.9166666667442769</v>
      </c>
      <c r="H56">
        <f>IF(COUNTIFS(B$2:B56,B56,E$2:E56,E56)=1,1,0)</f>
        <v>1</v>
      </c>
      <c r="I56">
        <f>IF(COUNTIFS(B$2:B56,B56,F$2:F56,F56)=1,1,0)</f>
        <v>1</v>
      </c>
    </row>
    <row r="57" spans="1:9" x14ac:dyDescent="0.3">
      <c r="A57">
        <v>67</v>
      </c>
      <c r="B57">
        <v>12</v>
      </c>
      <c r="C57" s="2">
        <v>44733.697280092594</v>
      </c>
      <c r="D57" s="2">
        <v>44733.702685185184</v>
      </c>
      <c r="E57" s="3">
        <f t="shared" si="0"/>
        <v>44733</v>
      </c>
      <c r="F57">
        <f t="shared" si="1"/>
        <v>6</v>
      </c>
      <c r="G57" s="4">
        <f t="shared" si="2"/>
        <v>7.7833333297166973</v>
      </c>
      <c r="H57">
        <f>IF(COUNTIFS(B$2:B57,B57,E$2:E57,E57)=1,1,0)</f>
        <v>0</v>
      </c>
      <c r="I57">
        <f>IF(COUNTIFS(B$2:B57,B57,F$2:F57,F57)=1,1,0)</f>
        <v>0</v>
      </c>
    </row>
    <row r="58" spans="1:9" x14ac:dyDescent="0.3">
      <c r="A58">
        <v>68</v>
      </c>
      <c r="B58">
        <v>12</v>
      </c>
      <c r="C58" s="2">
        <v>44733.947615740741</v>
      </c>
      <c r="D58" s="2">
        <v>44733.948518518519</v>
      </c>
      <c r="E58" s="3">
        <f t="shared" si="0"/>
        <v>44733</v>
      </c>
      <c r="F58">
        <f t="shared" si="1"/>
        <v>6</v>
      </c>
      <c r="G58" s="4">
        <f t="shared" si="2"/>
        <v>1.3000000000465661</v>
      </c>
      <c r="H58">
        <f>IF(COUNTIFS(B$2:B58,B58,E$2:E58,E58)=1,1,0)</f>
        <v>0</v>
      </c>
      <c r="I58">
        <f>IF(COUNTIFS(B$2:B58,B58,F$2:F58,F58)=1,1,0)</f>
        <v>0</v>
      </c>
    </row>
    <row r="59" spans="1:9" x14ac:dyDescent="0.3">
      <c r="A59">
        <v>69</v>
      </c>
      <c r="B59">
        <v>12</v>
      </c>
      <c r="C59" s="2">
        <v>44734.027638888889</v>
      </c>
      <c r="D59" s="2">
        <v>44734.033055555556</v>
      </c>
      <c r="E59" s="3">
        <f t="shared" si="0"/>
        <v>44734</v>
      </c>
      <c r="F59">
        <f t="shared" si="1"/>
        <v>6</v>
      </c>
      <c r="G59" s="4">
        <f t="shared" si="2"/>
        <v>7.8000000002793968</v>
      </c>
      <c r="H59">
        <f>IF(COUNTIFS(B$2:B59,B59,E$2:E59,E59)=1,1,0)</f>
        <v>1</v>
      </c>
      <c r="I59">
        <f>IF(COUNTIFS(B$2:B59,B59,F$2:F59,F59)=1,1,0)</f>
        <v>0</v>
      </c>
    </row>
    <row r="60" spans="1:9" x14ac:dyDescent="0.3">
      <c r="A60">
        <v>70</v>
      </c>
      <c r="B60">
        <v>12</v>
      </c>
      <c r="C60" s="2">
        <v>44734.275000000001</v>
      </c>
      <c r="D60" s="2">
        <v>44734.280034722222</v>
      </c>
      <c r="E60" s="3">
        <f t="shared" si="0"/>
        <v>44734</v>
      </c>
      <c r="F60">
        <f t="shared" si="1"/>
        <v>6</v>
      </c>
      <c r="G60" s="4">
        <f t="shared" si="2"/>
        <v>7.2499999974388629</v>
      </c>
      <c r="H60">
        <f>IF(COUNTIFS(B$2:B60,B60,E$2:E60,E60)=1,1,0)</f>
        <v>0</v>
      </c>
      <c r="I60">
        <f>IF(COUNTIFS(B$2:B60,B60,F$2:F60,F60)=1,1,0)</f>
        <v>0</v>
      </c>
    </row>
    <row r="61" spans="1:9" x14ac:dyDescent="0.3">
      <c r="A61">
        <v>71</v>
      </c>
      <c r="B61">
        <v>12</v>
      </c>
      <c r="C61" s="2">
        <v>44734.568067129629</v>
      </c>
      <c r="D61" s="2">
        <v>44734.569340277776</v>
      </c>
      <c r="E61" s="3">
        <f t="shared" si="0"/>
        <v>44734</v>
      </c>
      <c r="F61">
        <f t="shared" si="1"/>
        <v>6</v>
      </c>
      <c r="G61" s="4">
        <f t="shared" si="2"/>
        <v>1.8333333323244005</v>
      </c>
      <c r="H61">
        <f>IF(COUNTIFS(B$2:B61,B61,E$2:E61,E61)=1,1,0)</f>
        <v>0</v>
      </c>
      <c r="I61">
        <f>IF(COUNTIFS(B$2:B61,B61,F$2:F61,F61)=1,1,0)</f>
        <v>0</v>
      </c>
    </row>
    <row r="62" spans="1:9" x14ac:dyDescent="0.3">
      <c r="A62">
        <v>72</v>
      </c>
      <c r="B62">
        <v>12</v>
      </c>
      <c r="C62" s="2">
        <v>44734.913148148145</v>
      </c>
      <c r="D62" s="2">
        <v>44734.920706018522</v>
      </c>
      <c r="E62" s="3">
        <f t="shared" si="0"/>
        <v>44734</v>
      </c>
      <c r="F62">
        <f t="shared" si="1"/>
        <v>6</v>
      </c>
      <c r="G62" s="4">
        <f t="shared" si="2"/>
        <v>10.883333341917023</v>
      </c>
      <c r="H62">
        <f>IF(COUNTIFS(B$2:B62,B62,E$2:E62,E62)=1,1,0)</f>
        <v>0</v>
      </c>
      <c r="I62">
        <f>IF(COUNTIFS(B$2:B62,B62,F$2:F62,F62)=1,1,0)</f>
        <v>0</v>
      </c>
    </row>
    <row r="63" spans="1:9" x14ac:dyDescent="0.3">
      <c r="A63">
        <v>73</v>
      </c>
      <c r="B63">
        <v>13</v>
      </c>
      <c r="C63" s="2">
        <v>44868.360462962963</v>
      </c>
      <c r="D63" s="2">
        <v>44868.369120370371</v>
      </c>
      <c r="E63" s="3">
        <f t="shared" si="0"/>
        <v>44868</v>
      </c>
      <c r="F63">
        <f t="shared" si="1"/>
        <v>11</v>
      </c>
      <c r="G63" s="4">
        <f t="shared" si="2"/>
        <v>12.466666668187827</v>
      </c>
      <c r="H63">
        <f>IF(COUNTIFS(B$2:B63,B63,E$2:E63,E63)=1,1,0)</f>
        <v>1</v>
      </c>
      <c r="I63">
        <f>IF(COUNTIFS(B$2:B63,B63,F$2:F63,F63)=1,1,0)</f>
        <v>1</v>
      </c>
    </row>
    <row r="64" spans="1:9" x14ac:dyDescent="0.3">
      <c r="A64">
        <v>74</v>
      </c>
      <c r="B64">
        <v>14</v>
      </c>
      <c r="C64" s="2">
        <v>44567.978634259256</v>
      </c>
      <c r="D64" s="2">
        <v>44567.986134259256</v>
      </c>
      <c r="E64" s="3">
        <f t="shared" si="0"/>
        <v>44567</v>
      </c>
      <c r="F64">
        <f t="shared" si="1"/>
        <v>1</v>
      </c>
      <c r="G64" s="4">
        <f t="shared" si="2"/>
        <v>10.799999999580905</v>
      </c>
      <c r="H64">
        <f>IF(COUNTIFS(B$2:B64,B64,E$2:E64,E64)=1,1,0)</f>
        <v>1</v>
      </c>
      <c r="I64">
        <f>IF(COUNTIFS(B$2:B64,B64,F$2:F64,F64)=1,1,0)</f>
        <v>1</v>
      </c>
    </row>
    <row r="65" spans="1:9" x14ac:dyDescent="0.3">
      <c r="A65">
        <v>75</v>
      </c>
      <c r="B65">
        <v>15</v>
      </c>
      <c r="C65" s="2">
        <v>44572.428749999999</v>
      </c>
      <c r="D65" s="2">
        <v>44572.434641203705</v>
      </c>
      <c r="E65" s="3">
        <f t="shared" si="0"/>
        <v>44572</v>
      </c>
      <c r="F65">
        <f t="shared" si="1"/>
        <v>1</v>
      </c>
      <c r="G65" s="4">
        <f t="shared" si="2"/>
        <v>8.4833333361893892</v>
      </c>
      <c r="H65">
        <f>IF(COUNTIFS(B$2:B65,B65,E$2:E65,E65)=1,1,0)</f>
        <v>1</v>
      </c>
      <c r="I65">
        <f>IF(COUNTIFS(B$2:B65,B65,F$2:F65,F65)=1,1,0)</f>
        <v>1</v>
      </c>
    </row>
    <row r="66" spans="1:9" x14ac:dyDescent="0.3">
      <c r="A66">
        <v>76</v>
      </c>
      <c r="B66">
        <v>16</v>
      </c>
      <c r="C66" s="2">
        <v>44886.011412037034</v>
      </c>
      <c r="D66" s="2">
        <v>44886.017395833333</v>
      </c>
      <c r="E66" s="3">
        <f t="shared" ref="E66:E129" si="3">INT(C66)</f>
        <v>44886</v>
      </c>
      <c r="F66">
        <f t="shared" ref="F66:F129" si="4">MONTH(C66)</f>
        <v>11</v>
      </c>
      <c r="G66" s="4">
        <f t="shared" ref="G66:G129" si="5">(D66-C66)*1440</f>
        <v>8.6166666692588478</v>
      </c>
      <c r="H66">
        <f>IF(COUNTIFS(B$2:B66,B66,E$2:E66,E66)=1,1,0)</f>
        <v>1</v>
      </c>
      <c r="I66">
        <f>IF(COUNTIFS(B$2:B66,B66,F$2:F66,F66)=1,1,0)</f>
        <v>1</v>
      </c>
    </row>
    <row r="67" spans="1:9" x14ac:dyDescent="0.3">
      <c r="A67">
        <v>77</v>
      </c>
      <c r="B67">
        <v>16</v>
      </c>
      <c r="C67" s="2">
        <v>44886.155509259261</v>
      </c>
      <c r="D67" s="2">
        <v>44886.162812499999</v>
      </c>
      <c r="E67" s="3">
        <f t="shared" si="3"/>
        <v>44886</v>
      </c>
      <c r="F67">
        <f t="shared" si="4"/>
        <v>11</v>
      </c>
      <c r="G67" s="4">
        <f t="shared" si="5"/>
        <v>10.516666662879288</v>
      </c>
      <c r="H67">
        <f>IF(COUNTIFS(B$2:B67,B67,E$2:E67,E67)=1,1,0)</f>
        <v>0</v>
      </c>
      <c r="I67">
        <f>IF(COUNTIFS(B$2:B67,B67,F$2:F67,F67)=1,1,0)</f>
        <v>0</v>
      </c>
    </row>
    <row r="68" spans="1:9" x14ac:dyDescent="0.3">
      <c r="A68">
        <v>78</v>
      </c>
      <c r="B68">
        <v>16</v>
      </c>
      <c r="C68" s="2">
        <v>44886.359699074077</v>
      </c>
      <c r="D68" s="2">
        <v>44886.36146990741</v>
      </c>
      <c r="E68" s="3">
        <f t="shared" si="3"/>
        <v>44886</v>
      </c>
      <c r="F68">
        <f t="shared" si="4"/>
        <v>11</v>
      </c>
      <c r="G68" s="4">
        <f t="shared" si="5"/>
        <v>2.5499999988824129</v>
      </c>
      <c r="H68">
        <f>IF(COUNTIFS(B$2:B68,B68,E$2:E68,E68)=1,1,0)</f>
        <v>0</v>
      </c>
      <c r="I68">
        <f>IF(COUNTIFS(B$2:B68,B68,F$2:F68,F68)=1,1,0)</f>
        <v>0</v>
      </c>
    </row>
    <row r="69" spans="1:9" x14ac:dyDescent="0.3">
      <c r="A69">
        <v>79</v>
      </c>
      <c r="B69">
        <v>16</v>
      </c>
      <c r="C69" s="2">
        <v>44886.399467592593</v>
      </c>
      <c r="D69" s="2">
        <v>44886.403692129628</v>
      </c>
      <c r="E69" s="3">
        <f t="shared" si="3"/>
        <v>44886</v>
      </c>
      <c r="F69">
        <f t="shared" si="4"/>
        <v>11</v>
      </c>
      <c r="G69" s="4">
        <f t="shared" si="5"/>
        <v>6.0833333304617554</v>
      </c>
      <c r="H69">
        <f>IF(COUNTIFS(B$2:B69,B69,E$2:E69,E69)=1,1,0)</f>
        <v>0</v>
      </c>
      <c r="I69">
        <f>IF(COUNTIFS(B$2:B69,B69,F$2:F69,F69)=1,1,0)</f>
        <v>0</v>
      </c>
    </row>
    <row r="70" spans="1:9" x14ac:dyDescent="0.3">
      <c r="A70">
        <v>80</v>
      </c>
      <c r="B70">
        <v>16</v>
      </c>
      <c r="C70" s="2">
        <v>44886.486608796295</v>
      </c>
      <c r="D70" s="2">
        <v>44886.4922337963</v>
      </c>
      <c r="E70" s="3">
        <f t="shared" si="3"/>
        <v>44886</v>
      </c>
      <c r="F70">
        <f t="shared" si="4"/>
        <v>11</v>
      </c>
      <c r="G70" s="4">
        <f t="shared" si="5"/>
        <v>8.1000000075437129</v>
      </c>
      <c r="H70">
        <f>IF(COUNTIFS(B$2:B70,B70,E$2:E70,E70)=1,1,0)</f>
        <v>0</v>
      </c>
      <c r="I70">
        <f>IF(COUNTIFS(B$2:B70,B70,F$2:F70,F70)=1,1,0)</f>
        <v>0</v>
      </c>
    </row>
    <row r="71" spans="1:9" x14ac:dyDescent="0.3">
      <c r="A71">
        <v>81</v>
      </c>
      <c r="B71">
        <v>16</v>
      </c>
      <c r="C71" s="2">
        <v>44886.690335648149</v>
      </c>
      <c r="D71" s="2">
        <v>44886.697870370372</v>
      </c>
      <c r="E71" s="3">
        <f t="shared" si="3"/>
        <v>44886</v>
      </c>
      <c r="F71">
        <f t="shared" si="4"/>
        <v>11</v>
      </c>
      <c r="G71" s="4">
        <f t="shared" si="5"/>
        <v>10.850000000791624</v>
      </c>
      <c r="H71">
        <f>IF(COUNTIFS(B$2:B71,B71,E$2:E71,E71)=1,1,0)</f>
        <v>0</v>
      </c>
      <c r="I71">
        <f>IF(COUNTIFS(B$2:B71,B71,F$2:F71,F71)=1,1,0)</f>
        <v>0</v>
      </c>
    </row>
    <row r="72" spans="1:9" x14ac:dyDescent="0.3">
      <c r="A72">
        <v>82</v>
      </c>
      <c r="B72">
        <v>16</v>
      </c>
      <c r="C72" s="2">
        <v>44887.000787037039</v>
      </c>
      <c r="D72" s="2">
        <v>44887.003611111111</v>
      </c>
      <c r="E72" s="3">
        <f t="shared" si="3"/>
        <v>44887</v>
      </c>
      <c r="F72">
        <f t="shared" si="4"/>
        <v>11</v>
      </c>
      <c r="G72" s="4">
        <f t="shared" si="5"/>
        <v>4.0666666638571769</v>
      </c>
      <c r="H72">
        <f>IF(COUNTIFS(B$2:B72,B72,E$2:E72,E72)=1,1,0)</f>
        <v>1</v>
      </c>
      <c r="I72">
        <f>IF(COUNTIFS(B$2:B72,B72,F$2:F72,F72)=1,1,0)</f>
        <v>0</v>
      </c>
    </row>
    <row r="73" spans="1:9" x14ac:dyDescent="0.3">
      <c r="A73">
        <v>83</v>
      </c>
      <c r="B73">
        <v>17</v>
      </c>
      <c r="C73" s="2">
        <v>44629.855208333334</v>
      </c>
      <c r="D73" s="2">
        <v>44629.861192129632</v>
      </c>
      <c r="E73" s="3">
        <f t="shared" si="3"/>
        <v>44629</v>
      </c>
      <c r="F73">
        <f t="shared" si="4"/>
        <v>3</v>
      </c>
      <c r="G73" s="4">
        <f t="shared" si="5"/>
        <v>8.6166666692588478</v>
      </c>
      <c r="H73">
        <f>IF(COUNTIFS(B$2:B73,B73,E$2:E73,E73)=1,1,0)</f>
        <v>1</v>
      </c>
      <c r="I73">
        <f>IF(COUNTIFS(B$2:B73,B73,F$2:F73,F73)=1,1,0)</f>
        <v>1</v>
      </c>
    </row>
    <row r="74" spans="1:9" x14ac:dyDescent="0.3">
      <c r="A74">
        <v>84</v>
      </c>
      <c r="B74">
        <v>18</v>
      </c>
      <c r="C74" s="2">
        <v>44741.96025462963</v>
      </c>
      <c r="D74" s="2">
        <v>44741.967314814814</v>
      </c>
      <c r="E74" s="3">
        <f t="shared" si="3"/>
        <v>44741</v>
      </c>
      <c r="F74">
        <f t="shared" si="4"/>
        <v>6</v>
      </c>
      <c r="G74" s="4">
        <f t="shared" si="5"/>
        <v>10.166666664881632</v>
      </c>
      <c r="H74">
        <f>IF(COUNTIFS(B$2:B74,B74,E$2:E74,E74)=1,1,0)</f>
        <v>1</v>
      </c>
      <c r="I74">
        <f>IF(COUNTIFS(B$2:B74,B74,F$2:F74,F74)=1,1,0)</f>
        <v>1</v>
      </c>
    </row>
    <row r="75" spans="1:9" x14ac:dyDescent="0.3">
      <c r="A75">
        <v>85</v>
      </c>
      <c r="B75">
        <v>18</v>
      </c>
      <c r="C75" s="2">
        <v>44742.199166666665</v>
      </c>
      <c r="D75" s="2">
        <v>44742.208229166667</v>
      </c>
      <c r="E75" s="3">
        <f t="shared" si="3"/>
        <v>44742</v>
      </c>
      <c r="F75">
        <f t="shared" si="4"/>
        <v>6</v>
      </c>
      <c r="G75" s="4">
        <f t="shared" si="5"/>
        <v>13.050000001676381</v>
      </c>
      <c r="H75">
        <f>IF(COUNTIFS(B$2:B75,B75,E$2:E75,E75)=1,1,0)</f>
        <v>1</v>
      </c>
      <c r="I75">
        <f>IF(COUNTIFS(B$2:B75,B75,F$2:F75,F75)=1,1,0)</f>
        <v>0</v>
      </c>
    </row>
    <row r="76" spans="1:9" x14ac:dyDescent="0.3">
      <c r="A76">
        <v>86</v>
      </c>
      <c r="B76">
        <v>18</v>
      </c>
      <c r="C76" s="2">
        <v>44742.325682870367</v>
      </c>
      <c r="D76" s="2">
        <v>44742.330960648149</v>
      </c>
      <c r="E76" s="3">
        <f t="shared" si="3"/>
        <v>44742</v>
      </c>
      <c r="F76">
        <f t="shared" si="4"/>
        <v>6</v>
      </c>
      <c r="G76" s="4">
        <f t="shared" si="5"/>
        <v>7.6000000059138983</v>
      </c>
      <c r="H76">
        <f>IF(COUNTIFS(B$2:B76,B76,E$2:E76,E76)=1,1,0)</f>
        <v>0</v>
      </c>
      <c r="I76">
        <f>IF(COUNTIFS(B$2:B76,B76,F$2:F76,F76)=1,1,0)</f>
        <v>0</v>
      </c>
    </row>
    <row r="77" spans="1:9" x14ac:dyDescent="0.3">
      <c r="A77">
        <v>87</v>
      </c>
      <c r="B77">
        <v>18</v>
      </c>
      <c r="C77" s="2">
        <v>44742.385625000003</v>
      </c>
      <c r="D77" s="2">
        <v>44742.388923611114</v>
      </c>
      <c r="E77" s="3">
        <f t="shared" si="3"/>
        <v>44742</v>
      </c>
      <c r="F77">
        <f t="shared" si="4"/>
        <v>6</v>
      </c>
      <c r="G77" s="4">
        <f t="shared" si="5"/>
        <v>4.7499999997671694</v>
      </c>
      <c r="H77">
        <f>IF(COUNTIFS(B$2:B77,B77,E$2:E77,E77)=1,1,0)</f>
        <v>0</v>
      </c>
      <c r="I77">
        <f>IF(COUNTIFS(B$2:B77,B77,F$2:F77,F77)=1,1,0)</f>
        <v>0</v>
      </c>
    </row>
    <row r="78" spans="1:9" x14ac:dyDescent="0.3">
      <c r="A78">
        <v>88</v>
      </c>
      <c r="B78">
        <v>19</v>
      </c>
      <c r="C78" s="2">
        <v>44885.847025462965</v>
      </c>
      <c r="D78" s="2">
        <v>44885.852847222224</v>
      </c>
      <c r="E78" s="3">
        <f t="shared" si="3"/>
        <v>44885</v>
      </c>
      <c r="F78">
        <f t="shared" si="4"/>
        <v>11</v>
      </c>
      <c r="G78" s="4">
        <f t="shared" si="5"/>
        <v>8.3833333337679505</v>
      </c>
      <c r="H78">
        <f>IF(COUNTIFS(B$2:B78,B78,E$2:E78,E78)=1,1,0)</f>
        <v>1</v>
      </c>
      <c r="I78">
        <f>IF(COUNTIFS(B$2:B78,B78,F$2:F78,F78)=1,1,0)</f>
        <v>1</v>
      </c>
    </row>
    <row r="79" spans="1:9" x14ac:dyDescent="0.3">
      <c r="A79">
        <v>89</v>
      </c>
      <c r="B79">
        <v>19</v>
      </c>
      <c r="C79" s="2">
        <v>44886.120983796296</v>
      </c>
      <c r="D79" s="2">
        <v>44886.126354166663</v>
      </c>
      <c r="E79" s="3">
        <f t="shared" si="3"/>
        <v>44886</v>
      </c>
      <c r="F79">
        <f t="shared" si="4"/>
        <v>11</v>
      </c>
      <c r="G79" s="4">
        <f t="shared" si="5"/>
        <v>7.733333328505978</v>
      </c>
      <c r="H79">
        <f>IF(COUNTIFS(B$2:B79,B79,E$2:E79,E79)=1,1,0)</f>
        <v>1</v>
      </c>
      <c r="I79">
        <f>IF(COUNTIFS(B$2:B79,B79,F$2:F79,F79)=1,1,0)</f>
        <v>0</v>
      </c>
    </row>
    <row r="80" spans="1:9" x14ac:dyDescent="0.3">
      <c r="A80">
        <v>90</v>
      </c>
      <c r="B80">
        <v>19</v>
      </c>
      <c r="C80" s="2">
        <v>44886.376076388886</v>
      </c>
      <c r="D80" s="2">
        <v>44886.380057870374</v>
      </c>
      <c r="E80" s="3">
        <f t="shared" si="3"/>
        <v>44886</v>
      </c>
      <c r="F80">
        <f t="shared" si="4"/>
        <v>11</v>
      </c>
      <c r="G80" s="4">
        <f t="shared" si="5"/>
        <v>5.7333333429414779</v>
      </c>
      <c r="H80">
        <f>IF(COUNTIFS(B$2:B80,B80,E$2:E80,E80)=1,1,0)</f>
        <v>0</v>
      </c>
      <c r="I80">
        <f>IF(COUNTIFS(B$2:B80,B80,F$2:F80,F80)=1,1,0)</f>
        <v>0</v>
      </c>
    </row>
    <row r="81" spans="1:9" x14ac:dyDescent="0.3">
      <c r="A81">
        <v>91</v>
      </c>
      <c r="B81">
        <v>19</v>
      </c>
      <c r="C81" s="2">
        <v>44886.524131944447</v>
      </c>
      <c r="D81" s="2">
        <v>44886.525995370372</v>
      </c>
      <c r="E81" s="3">
        <f t="shared" si="3"/>
        <v>44886</v>
      </c>
      <c r="F81">
        <f t="shared" si="4"/>
        <v>11</v>
      </c>
      <c r="G81" s="4">
        <f t="shared" si="5"/>
        <v>2.6833333319518715</v>
      </c>
      <c r="H81">
        <f>IF(COUNTIFS(B$2:B81,B81,E$2:E81,E81)=1,1,0)</f>
        <v>0</v>
      </c>
      <c r="I81">
        <f>IF(COUNTIFS(B$2:B81,B81,F$2:F81,F81)=1,1,0)</f>
        <v>0</v>
      </c>
    </row>
    <row r="82" spans="1:9" x14ac:dyDescent="0.3">
      <c r="A82">
        <v>92</v>
      </c>
      <c r="B82">
        <v>19</v>
      </c>
      <c r="C82" s="2">
        <v>44886.563263888886</v>
      </c>
      <c r="D82" s="2">
        <v>44886.568090277775</v>
      </c>
      <c r="E82" s="3">
        <f t="shared" si="3"/>
        <v>44886</v>
      </c>
      <c r="F82">
        <f t="shared" si="4"/>
        <v>11</v>
      </c>
      <c r="G82" s="4">
        <f t="shared" si="5"/>
        <v>6.9500000006519258</v>
      </c>
      <c r="H82">
        <f>IF(COUNTIFS(B$2:B82,B82,E$2:E82,E82)=1,1,0)</f>
        <v>0</v>
      </c>
      <c r="I82">
        <f>IF(COUNTIFS(B$2:B82,B82,F$2:F82,F82)=1,1,0)</f>
        <v>0</v>
      </c>
    </row>
    <row r="83" spans="1:9" x14ac:dyDescent="0.3">
      <c r="A83">
        <v>93</v>
      </c>
      <c r="B83">
        <v>19</v>
      </c>
      <c r="C83" s="2">
        <v>44886.676527777781</v>
      </c>
      <c r="D83" s="2">
        <v>44886.683877314812</v>
      </c>
      <c r="E83" s="3">
        <f t="shared" si="3"/>
        <v>44886</v>
      </c>
      <c r="F83">
        <f t="shared" si="4"/>
        <v>11</v>
      </c>
      <c r="G83" s="4">
        <f t="shared" si="5"/>
        <v>10.583333324175328</v>
      </c>
      <c r="H83">
        <f>IF(COUNTIFS(B$2:B83,B83,E$2:E83,E83)=1,1,0)</f>
        <v>0</v>
      </c>
      <c r="I83">
        <f>IF(COUNTIFS(B$2:B83,B83,F$2:F83,F83)=1,1,0)</f>
        <v>0</v>
      </c>
    </row>
    <row r="84" spans="1:9" x14ac:dyDescent="0.3">
      <c r="A84">
        <v>94</v>
      </c>
      <c r="B84">
        <v>19</v>
      </c>
      <c r="C84" s="2">
        <v>44886.926562499997</v>
      </c>
      <c r="D84" s="2">
        <v>44886.934733796297</v>
      </c>
      <c r="E84" s="3">
        <f t="shared" si="3"/>
        <v>44886</v>
      </c>
      <c r="F84">
        <f t="shared" si="4"/>
        <v>11</v>
      </c>
      <c r="G84" s="4">
        <f t="shared" si="5"/>
        <v>11.766666672192514</v>
      </c>
      <c r="H84">
        <f>IF(COUNTIFS(B$2:B84,B84,E$2:E84,E84)=1,1,0)</f>
        <v>0</v>
      </c>
      <c r="I84">
        <f>IF(COUNTIFS(B$2:B84,B84,F$2:F84,F84)=1,1,0)</f>
        <v>0</v>
      </c>
    </row>
    <row r="85" spans="1:9" x14ac:dyDescent="0.3">
      <c r="A85">
        <v>95</v>
      </c>
      <c r="B85">
        <v>19</v>
      </c>
      <c r="C85" s="2">
        <v>44887.207662037035</v>
      </c>
      <c r="D85" s="2">
        <v>44887.216516203705</v>
      </c>
      <c r="E85" s="3">
        <f t="shared" si="3"/>
        <v>44887</v>
      </c>
      <c r="F85">
        <f t="shared" si="4"/>
        <v>11</v>
      </c>
      <c r="G85" s="4">
        <f t="shared" si="5"/>
        <v>12.750000004889444</v>
      </c>
      <c r="H85">
        <f>IF(COUNTIFS(B$2:B85,B85,E$2:E85,E85)=1,1,0)</f>
        <v>1</v>
      </c>
      <c r="I85">
        <f>IF(COUNTIFS(B$2:B85,B85,F$2:F85,F85)=1,1,0)</f>
        <v>0</v>
      </c>
    </row>
    <row r="86" spans="1:9" x14ac:dyDescent="0.3">
      <c r="A86">
        <v>96</v>
      </c>
      <c r="B86">
        <v>19</v>
      </c>
      <c r="C86" s="2">
        <v>44887.471134259256</v>
      </c>
      <c r="D86" s="2">
        <v>44887.4765625</v>
      </c>
      <c r="E86" s="3">
        <f t="shared" si="3"/>
        <v>44887</v>
      </c>
      <c r="F86">
        <f t="shared" si="4"/>
        <v>11</v>
      </c>
      <c r="G86" s="4">
        <f t="shared" si="5"/>
        <v>7.8166666708420962</v>
      </c>
      <c r="H86">
        <f>IF(COUNTIFS(B$2:B86,B86,E$2:E86,E86)=1,1,0)</f>
        <v>0</v>
      </c>
      <c r="I86">
        <f>IF(COUNTIFS(B$2:B86,B86,F$2:F86,F86)=1,1,0)</f>
        <v>0</v>
      </c>
    </row>
    <row r="87" spans="1:9" x14ac:dyDescent="0.3">
      <c r="A87">
        <v>97</v>
      </c>
      <c r="B87">
        <v>19</v>
      </c>
      <c r="C87" s="2">
        <v>44887.564699074072</v>
      </c>
      <c r="D87" s="2">
        <v>44887.574467592596</v>
      </c>
      <c r="E87" s="3">
        <f t="shared" si="3"/>
        <v>44887</v>
      </c>
      <c r="F87">
        <f t="shared" si="4"/>
        <v>11</v>
      </c>
      <c r="G87" s="4">
        <f t="shared" si="5"/>
        <v>14.066666675498709</v>
      </c>
      <c r="H87">
        <f>IF(COUNTIFS(B$2:B87,B87,E$2:E87,E87)=1,1,0)</f>
        <v>0</v>
      </c>
      <c r="I87">
        <f>IF(COUNTIFS(B$2:B87,B87,F$2:F87,F87)=1,1,0)</f>
        <v>0</v>
      </c>
    </row>
    <row r="88" spans="1:9" x14ac:dyDescent="0.3">
      <c r="A88">
        <v>98</v>
      </c>
      <c r="B88">
        <v>19</v>
      </c>
      <c r="C88" s="2">
        <v>44887.813159722224</v>
      </c>
      <c r="D88" s="2">
        <v>44887.81827546296</v>
      </c>
      <c r="E88" s="3">
        <f t="shared" si="3"/>
        <v>44887</v>
      </c>
      <c r="F88">
        <f t="shared" si="4"/>
        <v>11</v>
      </c>
      <c r="G88" s="4">
        <f t="shared" si="5"/>
        <v>7.3666666599456221</v>
      </c>
      <c r="H88">
        <f>IF(COUNTIFS(B$2:B88,B88,E$2:E88,E88)=1,1,0)</f>
        <v>0</v>
      </c>
      <c r="I88">
        <f>IF(COUNTIFS(B$2:B88,B88,F$2:F88,F88)=1,1,0)</f>
        <v>0</v>
      </c>
    </row>
    <row r="89" spans="1:9" x14ac:dyDescent="0.3">
      <c r="A89">
        <v>99</v>
      </c>
      <c r="B89">
        <v>19</v>
      </c>
      <c r="C89" s="2">
        <v>44888.025462962964</v>
      </c>
      <c r="D89" s="2">
        <v>44888.027662037035</v>
      </c>
      <c r="E89" s="3">
        <f t="shared" si="3"/>
        <v>44888</v>
      </c>
      <c r="F89">
        <f t="shared" si="4"/>
        <v>11</v>
      </c>
      <c r="G89" s="4">
        <f t="shared" si="5"/>
        <v>3.1666666630189866</v>
      </c>
      <c r="H89">
        <f>IF(COUNTIFS(B$2:B89,B89,E$2:E89,E89)=1,1,0)</f>
        <v>1</v>
      </c>
      <c r="I89">
        <f>IF(COUNTIFS(B$2:B89,B89,F$2:F89,F89)=1,1,0)</f>
        <v>0</v>
      </c>
    </row>
    <row r="90" spans="1:9" x14ac:dyDescent="0.3">
      <c r="A90">
        <v>100</v>
      </c>
      <c r="B90">
        <v>19</v>
      </c>
      <c r="C90" s="2">
        <v>44888.292500000003</v>
      </c>
      <c r="D90" s="2">
        <v>44888.294374999998</v>
      </c>
      <c r="E90" s="3">
        <f t="shared" si="3"/>
        <v>44888</v>
      </c>
      <c r="F90">
        <f t="shared" si="4"/>
        <v>11</v>
      </c>
      <c r="G90" s="4">
        <f t="shared" si="5"/>
        <v>2.699999992037192</v>
      </c>
      <c r="H90">
        <f>IF(COUNTIFS(B$2:B90,B90,E$2:E90,E90)=1,1,0)</f>
        <v>0</v>
      </c>
      <c r="I90">
        <f>IF(COUNTIFS(B$2:B90,B90,F$2:F90,F90)=1,1,0)</f>
        <v>0</v>
      </c>
    </row>
    <row r="91" spans="1:9" x14ac:dyDescent="0.3">
      <c r="A91">
        <v>101</v>
      </c>
      <c r="B91">
        <v>19</v>
      </c>
      <c r="C91" s="2">
        <v>44888.588784722226</v>
      </c>
      <c r="D91" s="2">
        <v>44888.593738425923</v>
      </c>
      <c r="E91" s="3">
        <f t="shared" si="3"/>
        <v>44888</v>
      </c>
      <c r="F91">
        <f t="shared" si="4"/>
        <v>11</v>
      </c>
      <c r="G91" s="4">
        <f t="shared" si="5"/>
        <v>7.1333333244547248</v>
      </c>
      <c r="H91">
        <f>IF(COUNTIFS(B$2:B91,B91,E$2:E91,E91)=1,1,0)</f>
        <v>0</v>
      </c>
      <c r="I91">
        <f>IF(COUNTIFS(B$2:B91,B91,F$2:F91,F91)=1,1,0)</f>
        <v>0</v>
      </c>
    </row>
    <row r="92" spans="1:9" x14ac:dyDescent="0.3">
      <c r="A92">
        <v>102</v>
      </c>
      <c r="B92">
        <v>19</v>
      </c>
      <c r="C92" s="2">
        <v>44888.730462962965</v>
      </c>
      <c r="D92" s="2">
        <v>44888.73505787037</v>
      </c>
      <c r="E92" s="3">
        <f t="shared" si="3"/>
        <v>44888</v>
      </c>
      <c r="F92">
        <f t="shared" si="4"/>
        <v>11</v>
      </c>
      <c r="G92" s="4">
        <f t="shared" si="5"/>
        <v>6.6166666627395898</v>
      </c>
      <c r="H92">
        <f>IF(COUNTIFS(B$2:B92,B92,E$2:E92,E92)=1,1,0)</f>
        <v>0</v>
      </c>
      <c r="I92">
        <f>IF(COUNTIFS(B$2:B92,B92,F$2:F92,F92)=1,1,0)</f>
        <v>0</v>
      </c>
    </row>
    <row r="93" spans="1:9" x14ac:dyDescent="0.3">
      <c r="A93">
        <v>103</v>
      </c>
      <c r="B93">
        <v>19</v>
      </c>
      <c r="C93" s="2">
        <v>44889.05196759259</v>
      </c>
      <c r="D93" s="2">
        <v>44889.058217592596</v>
      </c>
      <c r="E93" s="3">
        <f t="shared" si="3"/>
        <v>44889</v>
      </c>
      <c r="F93">
        <f t="shared" si="4"/>
        <v>11</v>
      </c>
      <c r="G93" s="4">
        <f t="shared" si="5"/>
        <v>9.0000000083819032</v>
      </c>
      <c r="H93">
        <f>IF(COUNTIFS(B$2:B93,B93,E$2:E93,E93)=1,1,0)</f>
        <v>1</v>
      </c>
      <c r="I93">
        <f>IF(COUNTIFS(B$2:B93,B93,F$2:F93,F93)=1,1,0)</f>
        <v>0</v>
      </c>
    </row>
    <row r="94" spans="1:9" x14ac:dyDescent="0.3">
      <c r="A94">
        <v>104</v>
      </c>
      <c r="B94">
        <v>19</v>
      </c>
      <c r="C94" s="2">
        <v>44889.23165509259</v>
      </c>
      <c r="D94" s="2">
        <v>44889.239629629628</v>
      </c>
      <c r="E94" s="3">
        <f t="shared" si="3"/>
        <v>44889</v>
      </c>
      <c r="F94">
        <f t="shared" si="4"/>
        <v>11</v>
      </c>
      <c r="G94" s="4">
        <f t="shared" si="5"/>
        <v>11.483333335490897</v>
      </c>
      <c r="H94">
        <f>IF(COUNTIFS(B$2:B94,B94,E$2:E94,E94)=1,1,0)</f>
        <v>0</v>
      </c>
      <c r="I94">
        <f>IF(COUNTIFS(B$2:B94,B94,F$2:F94,F94)=1,1,0)</f>
        <v>0</v>
      </c>
    </row>
    <row r="95" spans="1:9" x14ac:dyDescent="0.3">
      <c r="A95">
        <v>105</v>
      </c>
      <c r="B95">
        <v>19</v>
      </c>
      <c r="C95" s="2">
        <v>44889.36173611111</v>
      </c>
      <c r="D95" s="2">
        <v>44889.36954861111</v>
      </c>
      <c r="E95" s="3">
        <f t="shared" si="3"/>
        <v>44889</v>
      </c>
      <c r="F95">
        <f t="shared" si="4"/>
        <v>11</v>
      </c>
      <c r="G95" s="4">
        <f t="shared" si="5"/>
        <v>11.25</v>
      </c>
      <c r="H95">
        <f>IF(COUNTIFS(B$2:B95,B95,E$2:E95,E95)=1,1,0)</f>
        <v>0</v>
      </c>
      <c r="I95">
        <f>IF(COUNTIFS(B$2:B95,B95,F$2:F95,F95)=1,1,0)</f>
        <v>0</v>
      </c>
    </row>
    <row r="96" spans="1:9" x14ac:dyDescent="0.3">
      <c r="A96">
        <v>106</v>
      </c>
      <c r="B96">
        <v>19</v>
      </c>
      <c r="C96" s="2">
        <v>44889.644270833334</v>
      </c>
      <c r="D96" s="2">
        <v>44889.654861111114</v>
      </c>
      <c r="E96" s="3">
        <f t="shared" si="3"/>
        <v>44889</v>
      </c>
      <c r="F96">
        <f t="shared" si="4"/>
        <v>11</v>
      </c>
      <c r="G96" s="4">
        <f t="shared" si="5"/>
        <v>15.250000002561137</v>
      </c>
      <c r="H96">
        <f>IF(COUNTIFS(B$2:B96,B96,E$2:E96,E96)=1,1,0)</f>
        <v>0</v>
      </c>
      <c r="I96">
        <f>IF(COUNTIFS(B$2:B96,B96,F$2:F96,F96)=1,1,0)</f>
        <v>0</v>
      </c>
    </row>
    <row r="97" spans="1:9" x14ac:dyDescent="0.3">
      <c r="A97">
        <v>107</v>
      </c>
      <c r="B97">
        <v>19</v>
      </c>
      <c r="C97" s="2">
        <v>44889.720729166664</v>
      </c>
      <c r="D97" s="2">
        <v>44889.723553240743</v>
      </c>
      <c r="E97" s="3">
        <f t="shared" si="3"/>
        <v>44889</v>
      </c>
      <c r="F97">
        <f t="shared" si="4"/>
        <v>11</v>
      </c>
      <c r="G97" s="4">
        <f t="shared" si="5"/>
        <v>4.0666666743345559</v>
      </c>
      <c r="H97">
        <f>IF(COUNTIFS(B$2:B97,B97,E$2:E97,E97)=1,1,0)</f>
        <v>0</v>
      </c>
      <c r="I97">
        <f>IF(COUNTIFS(B$2:B97,B97,F$2:F97,F97)=1,1,0)</f>
        <v>0</v>
      </c>
    </row>
    <row r="98" spans="1:9" x14ac:dyDescent="0.3">
      <c r="A98">
        <v>108</v>
      </c>
      <c r="B98">
        <v>19</v>
      </c>
      <c r="C98" s="2">
        <v>44889.866365740738</v>
      </c>
      <c r="D98" s="2">
        <v>44889.873645833337</v>
      </c>
      <c r="E98" s="3">
        <f t="shared" si="3"/>
        <v>44889</v>
      </c>
      <c r="F98">
        <f t="shared" si="4"/>
        <v>11</v>
      </c>
      <c r="G98" s="4">
        <f t="shared" si="5"/>
        <v>10.483333342708647</v>
      </c>
      <c r="H98">
        <f>IF(COUNTIFS(B$2:B98,B98,E$2:E98,E98)=1,1,0)</f>
        <v>0</v>
      </c>
      <c r="I98">
        <f>IF(COUNTIFS(B$2:B98,B98,F$2:F98,F98)=1,1,0)</f>
        <v>0</v>
      </c>
    </row>
    <row r="99" spans="1:9" x14ac:dyDescent="0.3">
      <c r="A99">
        <v>109</v>
      </c>
      <c r="B99">
        <v>19</v>
      </c>
      <c r="C99" s="2">
        <v>44889.912407407406</v>
      </c>
      <c r="D99" s="2">
        <v>44889.919456018521</v>
      </c>
      <c r="E99" s="3">
        <f t="shared" si="3"/>
        <v>44889</v>
      </c>
      <c r="F99">
        <f t="shared" si="4"/>
        <v>11</v>
      </c>
      <c r="G99" s="4">
        <f t="shared" si="5"/>
        <v>10.150000004796311</v>
      </c>
      <c r="H99">
        <f>IF(COUNTIFS(B$2:B99,B99,E$2:E99,E99)=1,1,0)</f>
        <v>0</v>
      </c>
      <c r="I99">
        <f>IF(COUNTIFS(B$2:B99,B99,F$2:F99,F99)=1,1,0)</f>
        <v>0</v>
      </c>
    </row>
    <row r="100" spans="1:9" x14ac:dyDescent="0.3">
      <c r="A100">
        <v>110</v>
      </c>
      <c r="B100">
        <v>19</v>
      </c>
      <c r="C100" s="2">
        <v>44890.194618055553</v>
      </c>
      <c r="D100" s="2">
        <v>44890.203414351854</v>
      </c>
      <c r="E100" s="3">
        <f t="shared" si="3"/>
        <v>44890</v>
      </c>
      <c r="F100">
        <f t="shared" si="4"/>
        <v>11</v>
      </c>
      <c r="G100" s="4">
        <f t="shared" si="5"/>
        <v>12.666666673030704</v>
      </c>
      <c r="H100">
        <f>IF(COUNTIFS(B$2:B100,B100,E$2:E100,E100)=1,1,0)</f>
        <v>1</v>
      </c>
      <c r="I100">
        <f>IF(COUNTIFS(B$2:B100,B100,F$2:F100,F100)=1,1,0)</f>
        <v>0</v>
      </c>
    </row>
    <row r="101" spans="1:9" x14ac:dyDescent="0.3">
      <c r="A101">
        <v>111</v>
      </c>
      <c r="B101">
        <v>20</v>
      </c>
      <c r="C101" s="2">
        <v>44749.844629629632</v>
      </c>
      <c r="D101" s="2">
        <v>44749.850752314815</v>
      </c>
      <c r="E101" s="3">
        <f t="shared" si="3"/>
        <v>44749</v>
      </c>
      <c r="F101">
        <f t="shared" si="4"/>
        <v>7</v>
      </c>
      <c r="G101" s="4">
        <f t="shared" si="5"/>
        <v>8.8166666636243463</v>
      </c>
      <c r="H101">
        <f>IF(COUNTIFS(B$2:B101,B101,E$2:E101,E101)=1,1,0)</f>
        <v>1</v>
      </c>
      <c r="I101">
        <f>IF(COUNTIFS(B$2:B101,B101,F$2:F101,F101)=1,1,0)</f>
        <v>1</v>
      </c>
    </row>
    <row r="102" spans="1:9" x14ac:dyDescent="0.3">
      <c r="A102">
        <v>112</v>
      </c>
      <c r="B102">
        <v>20</v>
      </c>
      <c r="C102" s="2">
        <v>44750.167453703703</v>
      </c>
      <c r="D102" s="2">
        <v>44750.173148148147</v>
      </c>
      <c r="E102" s="3">
        <f t="shared" si="3"/>
        <v>44750</v>
      </c>
      <c r="F102">
        <f t="shared" si="4"/>
        <v>7</v>
      </c>
      <c r="G102" s="4">
        <f t="shared" si="5"/>
        <v>8.1999999994877726</v>
      </c>
      <c r="H102">
        <f>IF(COUNTIFS(B$2:B102,B102,E$2:E102,E102)=1,1,0)</f>
        <v>1</v>
      </c>
      <c r="I102">
        <f>IF(COUNTIFS(B$2:B102,B102,F$2:F102,F102)=1,1,0)</f>
        <v>0</v>
      </c>
    </row>
    <row r="103" spans="1:9" x14ac:dyDescent="0.3">
      <c r="A103">
        <v>113</v>
      </c>
      <c r="B103">
        <v>20</v>
      </c>
      <c r="C103" s="2">
        <v>44750.303333333337</v>
      </c>
      <c r="D103" s="2">
        <v>44750.310648148145</v>
      </c>
      <c r="E103" s="3">
        <f t="shared" si="3"/>
        <v>44750</v>
      </c>
      <c r="F103">
        <f t="shared" si="4"/>
        <v>7</v>
      </c>
      <c r="G103" s="4">
        <f t="shared" si="5"/>
        <v>10.533333322964609</v>
      </c>
      <c r="H103">
        <f>IF(COUNTIFS(B$2:B103,B103,E$2:E103,E103)=1,1,0)</f>
        <v>0</v>
      </c>
      <c r="I103">
        <f>IF(COUNTIFS(B$2:B103,B103,F$2:F103,F103)=1,1,0)</f>
        <v>0</v>
      </c>
    </row>
    <row r="104" spans="1:9" x14ac:dyDescent="0.3">
      <c r="A104">
        <v>114</v>
      </c>
      <c r="B104">
        <v>20</v>
      </c>
      <c r="C104" s="2">
        <v>44750.562037037038</v>
      </c>
      <c r="D104" s="2">
        <v>44750.566018518519</v>
      </c>
      <c r="E104" s="3">
        <f t="shared" si="3"/>
        <v>44750</v>
      </c>
      <c r="F104">
        <f t="shared" si="4"/>
        <v>7</v>
      </c>
      <c r="G104" s="4">
        <f t="shared" si="5"/>
        <v>5.7333333324640989</v>
      </c>
      <c r="H104">
        <f>IF(COUNTIFS(B$2:B104,B104,E$2:E104,E104)=1,1,0)</f>
        <v>0</v>
      </c>
      <c r="I104">
        <f>IF(COUNTIFS(B$2:B104,B104,F$2:F104,F104)=1,1,0)</f>
        <v>0</v>
      </c>
    </row>
    <row r="105" spans="1:9" x14ac:dyDescent="0.3">
      <c r="A105">
        <v>115</v>
      </c>
      <c r="B105">
        <v>20</v>
      </c>
      <c r="C105" s="2">
        <v>44750.830578703702</v>
      </c>
      <c r="D105" s="2">
        <v>44750.834120370368</v>
      </c>
      <c r="E105" s="3">
        <f t="shared" si="3"/>
        <v>44750</v>
      </c>
      <c r="F105">
        <f t="shared" si="4"/>
        <v>7</v>
      </c>
      <c r="G105" s="4">
        <f t="shared" si="5"/>
        <v>5.0999999977648258</v>
      </c>
      <c r="H105">
        <f>IF(COUNTIFS(B$2:B105,B105,E$2:E105,E105)=1,1,0)</f>
        <v>0</v>
      </c>
      <c r="I105">
        <f>IF(COUNTIFS(B$2:B105,B105,F$2:F105,F105)=1,1,0)</f>
        <v>0</v>
      </c>
    </row>
    <row r="106" spans="1:9" x14ac:dyDescent="0.3">
      <c r="A106">
        <v>116</v>
      </c>
      <c r="B106">
        <v>20</v>
      </c>
      <c r="C106" s="2">
        <v>44750.924976851849</v>
      </c>
      <c r="D106" s="2">
        <v>44750.931655092594</v>
      </c>
      <c r="E106" s="3">
        <f t="shared" si="3"/>
        <v>44750</v>
      </c>
      <c r="F106">
        <f t="shared" si="4"/>
        <v>7</v>
      </c>
      <c r="G106" s="4">
        <f t="shared" si="5"/>
        <v>9.6166666725184768</v>
      </c>
      <c r="H106">
        <f>IF(COUNTIFS(B$2:B106,B106,E$2:E106,E106)=1,1,0)</f>
        <v>0</v>
      </c>
      <c r="I106">
        <f>IF(COUNTIFS(B$2:B106,B106,F$2:F106,F106)=1,1,0)</f>
        <v>0</v>
      </c>
    </row>
    <row r="107" spans="1:9" x14ac:dyDescent="0.3">
      <c r="A107">
        <v>117</v>
      </c>
      <c r="B107">
        <v>20</v>
      </c>
      <c r="C107" s="2">
        <v>44750.975636574076</v>
      </c>
      <c r="D107" s="2">
        <v>44750.9765625</v>
      </c>
      <c r="E107" s="3">
        <f t="shared" si="3"/>
        <v>44750</v>
      </c>
      <c r="F107">
        <f t="shared" si="4"/>
        <v>7</v>
      </c>
      <c r="G107" s="4">
        <f t="shared" si="5"/>
        <v>1.333333330694586</v>
      </c>
      <c r="H107">
        <f>IF(COUNTIFS(B$2:B107,B107,E$2:E107,E107)=1,1,0)</f>
        <v>0</v>
      </c>
      <c r="I107">
        <f>IF(COUNTIFS(B$2:B107,B107,F$2:F107,F107)=1,1,0)</f>
        <v>0</v>
      </c>
    </row>
    <row r="108" spans="1:9" x14ac:dyDescent="0.3">
      <c r="A108">
        <v>118</v>
      </c>
      <c r="B108">
        <v>20</v>
      </c>
      <c r="C108" s="2">
        <v>44751.141203703701</v>
      </c>
      <c r="D108" s="2">
        <v>44751.147280092591</v>
      </c>
      <c r="E108" s="3">
        <f t="shared" si="3"/>
        <v>44751</v>
      </c>
      <c r="F108">
        <f t="shared" si="4"/>
        <v>7</v>
      </c>
      <c r="G108" s="4">
        <f t="shared" si="5"/>
        <v>8.7500000023283064</v>
      </c>
      <c r="H108">
        <f>IF(COUNTIFS(B$2:B108,B108,E$2:E108,E108)=1,1,0)</f>
        <v>1</v>
      </c>
      <c r="I108">
        <f>IF(COUNTIFS(B$2:B108,B108,F$2:F108,F108)=1,1,0)</f>
        <v>0</v>
      </c>
    </row>
    <row r="109" spans="1:9" x14ac:dyDescent="0.3">
      <c r="A109">
        <v>119</v>
      </c>
      <c r="B109">
        <v>20</v>
      </c>
      <c r="C109" s="2">
        <v>44751.367372685185</v>
      </c>
      <c r="D109" s="2">
        <v>44751.372314814813</v>
      </c>
      <c r="E109" s="3">
        <f t="shared" si="3"/>
        <v>44751</v>
      </c>
      <c r="F109">
        <f t="shared" si="4"/>
        <v>7</v>
      </c>
      <c r="G109" s="4">
        <f t="shared" si="5"/>
        <v>7.1166666643694043</v>
      </c>
      <c r="H109">
        <f>IF(COUNTIFS(B$2:B109,B109,E$2:E109,E109)=1,1,0)</f>
        <v>0</v>
      </c>
      <c r="I109">
        <f>IF(COUNTIFS(B$2:B109,B109,F$2:F109,F109)=1,1,0)</f>
        <v>0</v>
      </c>
    </row>
    <row r="110" spans="1:9" x14ac:dyDescent="0.3">
      <c r="A110">
        <v>120</v>
      </c>
      <c r="B110">
        <v>20</v>
      </c>
      <c r="C110" s="2">
        <v>44751.444178240738</v>
      </c>
      <c r="D110" s="2">
        <v>44751.449537037035</v>
      </c>
      <c r="E110" s="3">
        <f t="shared" si="3"/>
        <v>44751</v>
      </c>
      <c r="F110">
        <f t="shared" si="4"/>
        <v>7</v>
      </c>
      <c r="G110" s="4">
        <f t="shared" si="5"/>
        <v>7.7166666684206575</v>
      </c>
      <c r="H110">
        <f>IF(COUNTIFS(B$2:B110,B110,E$2:E110,E110)=1,1,0)</f>
        <v>0</v>
      </c>
      <c r="I110">
        <f>IF(COUNTIFS(B$2:B110,B110,F$2:F110,F110)=1,1,0)</f>
        <v>0</v>
      </c>
    </row>
    <row r="111" spans="1:9" x14ac:dyDescent="0.3">
      <c r="A111">
        <v>121</v>
      </c>
      <c r="B111">
        <v>20</v>
      </c>
      <c r="C111" s="2">
        <v>44751.626956018517</v>
      </c>
      <c r="D111" s="2">
        <v>44751.633611111109</v>
      </c>
      <c r="E111" s="3">
        <f t="shared" si="3"/>
        <v>44751</v>
      </c>
      <c r="F111">
        <f t="shared" si="4"/>
        <v>7</v>
      </c>
      <c r="G111" s="4">
        <f t="shared" si="5"/>
        <v>9.583333331393078</v>
      </c>
      <c r="H111">
        <f>IF(COUNTIFS(B$2:B111,B111,E$2:E111,E111)=1,1,0)</f>
        <v>0</v>
      </c>
      <c r="I111">
        <f>IF(COUNTIFS(B$2:B111,B111,F$2:F111,F111)=1,1,0)</f>
        <v>0</v>
      </c>
    </row>
    <row r="112" spans="1:9" x14ac:dyDescent="0.3">
      <c r="A112">
        <v>122</v>
      </c>
      <c r="B112">
        <v>20</v>
      </c>
      <c r="C112" s="2">
        <v>44751.871145833335</v>
      </c>
      <c r="D112" s="2">
        <v>44751.879386574074</v>
      </c>
      <c r="E112" s="3">
        <f t="shared" si="3"/>
        <v>44751</v>
      </c>
      <c r="F112">
        <f t="shared" si="4"/>
        <v>7</v>
      </c>
      <c r="G112" s="4">
        <f t="shared" si="5"/>
        <v>11.866666664136574</v>
      </c>
      <c r="H112">
        <f>IF(COUNTIFS(B$2:B112,B112,E$2:E112,E112)=1,1,0)</f>
        <v>0</v>
      </c>
      <c r="I112">
        <f>IF(COUNTIFS(B$2:B112,B112,F$2:F112,F112)=1,1,0)</f>
        <v>0</v>
      </c>
    </row>
    <row r="113" spans="1:9" x14ac:dyDescent="0.3">
      <c r="A113">
        <v>123</v>
      </c>
      <c r="B113">
        <v>20</v>
      </c>
      <c r="C113" s="2">
        <v>44752.106435185182</v>
      </c>
      <c r="D113" s="2">
        <v>44752.115983796299</v>
      </c>
      <c r="E113" s="3">
        <f t="shared" si="3"/>
        <v>44752</v>
      </c>
      <c r="F113">
        <f t="shared" si="4"/>
        <v>7</v>
      </c>
      <c r="G113" s="4">
        <f t="shared" si="5"/>
        <v>13.750000008149073</v>
      </c>
      <c r="H113">
        <f>IF(COUNTIFS(B$2:B113,B113,E$2:E113,E113)=1,1,0)</f>
        <v>1</v>
      </c>
      <c r="I113">
        <f>IF(COUNTIFS(B$2:B113,B113,F$2:F113,F113)=1,1,0)</f>
        <v>0</v>
      </c>
    </row>
    <row r="114" spans="1:9" x14ac:dyDescent="0.3">
      <c r="A114">
        <v>124</v>
      </c>
      <c r="B114">
        <v>20</v>
      </c>
      <c r="C114" s="2">
        <v>44752.171307870369</v>
      </c>
      <c r="D114" s="2">
        <v>44752.180914351855</v>
      </c>
      <c r="E114" s="3">
        <f t="shared" si="3"/>
        <v>44752</v>
      </c>
      <c r="F114">
        <f t="shared" si="4"/>
        <v>7</v>
      </c>
      <c r="G114" s="4">
        <f t="shared" si="5"/>
        <v>13.833333340007812</v>
      </c>
      <c r="H114">
        <f>IF(COUNTIFS(B$2:B114,B114,E$2:E114,E114)=1,1,0)</f>
        <v>0</v>
      </c>
      <c r="I114">
        <f>IF(COUNTIFS(B$2:B114,B114,F$2:F114,F114)=1,1,0)</f>
        <v>0</v>
      </c>
    </row>
    <row r="115" spans="1:9" x14ac:dyDescent="0.3">
      <c r="A115">
        <v>125</v>
      </c>
      <c r="B115">
        <v>20</v>
      </c>
      <c r="C115" s="2">
        <v>44752.272245370368</v>
      </c>
      <c r="D115" s="2">
        <v>44752.283761574072</v>
      </c>
      <c r="E115" s="3">
        <f t="shared" si="3"/>
        <v>44752</v>
      </c>
      <c r="F115">
        <f t="shared" si="4"/>
        <v>7</v>
      </c>
      <c r="G115" s="4">
        <f t="shared" si="5"/>
        <v>16.583333333255723</v>
      </c>
      <c r="H115">
        <f>IF(COUNTIFS(B$2:B115,B115,E$2:E115,E115)=1,1,0)</f>
        <v>0</v>
      </c>
      <c r="I115">
        <f>IF(COUNTIFS(B$2:B115,B115,F$2:F115,F115)=1,1,0)</f>
        <v>0</v>
      </c>
    </row>
    <row r="116" spans="1:9" x14ac:dyDescent="0.3">
      <c r="A116">
        <v>126</v>
      </c>
      <c r="B116">
        <v>20</v>
      </c>
      <c r="C116" s="2">
        <v>44752.406539351854</v>
      </c>
      <c r="D116" s="2">
        <v>44752.410601851851</v>
      </c>
      <c r="E116" s="3">
        <f t="shared" si="3"/>
        <v>44752</v>
      </c>
      <c r="F116">
        <f t="shared" si="4"/>
        <v>7</v>
      </c>
      <c r="G116" s="4">
        <f t="shared" si="5"/>
        <v>5.8499999949708581</v>
      </c>
      <c r="H116">
        <f>IF(COUNTIFS(B$2:B116,B116,E$2:E116,E116)=1,1,0)</f>
        <v>0</v>
      </c>
      <c r="I116">
        <f>IF(COUNTIFS(B$2:B116,B116,F$2:F116,F116)=1,1,0)</f>
        <v>0</v>
      </c>
    </row>
    <row r="117" spans="1:9" x14ac:dyDescent="0.3">
      <c r="A117">
        <v>127</v>
      </c>
      <c r="B117">
        <v>20</v>
      </c>
      <c r="C117" s="2">
        <v>44752.642789351848</v>
      </c>
      <c r="D117" s="2">
        <v>44752.653298611112</v>
      </c>
      <c r="E117" s="3">
        <f t="shared" si="3"/>
        <v>44752</v>
      </c>
      <c r="F117">
        <f t="shared" si="4"/>
        <v>7</v>
      </c>
      <c r="G117" s="4">
        <f t="shared" si="5"/>
        <v>15.133333340054378</v>
      </c>
      <c r="H117">
        <f>IF(COUNTIFS(B$2:B117,B117,E$2:E117,E117)=1,1,0)</f>
        <v>0</v>
      </c>
      <c r="I117">
        <f>IF(COUNTIFS(B$2:B117,B117,F$2:F117,F117)=1,1,0)</f>
        <v>0</v>
      </c>
    </row>
    <row r="118" spans="1:9" x14ac:dyDescent="0.3">
      <c r="A118">
        <v>128</v>
      </c>
      <c r="B118">
        <v>20</v>
      </c>
      <c r="C118" s="2">
        <v>44752.714467592596</v>
      </c>
      <c r="D118" s="2">
        <v>44752.717650462961</v>
      </c>
      <c r="E118" s="3">
        <f t="shared" si="3"/>
        <v>44752</v>
      </c>
      <c r="F118">
        <f t="shared" si="4"/>
        <v>7</v>
      </c>
      <c r="G118" s="4">
        <f t="shared" si="5"/>
        <v>4.5833333255723119</v>
      </c>
      <c r="H118">
        <f>IF(COUNTIFS(B$2:B118,B118,E$2:E118,E118)=1,1,0)</f>
        <v>0</v>
      </c>
      <c r="I118">
        <f>IF(COUNTIFS(B$2:B118,B118,F$2:F118,F118)=1,1,0)</f>
        <v>0</v>
      </c>
    </row>
    <row r="119" spans="1:9" x14ac:dyDescent="0.3">
      <c r="A119">
        <v>129</v>
      </c>
      <c r="B119">
        <v>20</v>
      </c>
      <c r="C119" s="2">
        <v>44752.859259259261</v>
      </c>
      <c r="D119" s="2">
        <v>44752.86917824074</v>
      </c>
      <c r="E119" s="3">
        <f t="shared" si="3"/>
        <v>44752</v>
      </c>
      <c r="F119">
        <f t="shared" si="4"/>
        <v>7</v>
      </c>
      <c r="G119" s="4">
        <f t="shared" si="5"/>
        <v>14.283333329949528</v>
      </c>
      <c r="H119">
        <f>IF(COUNTIFS(B$2:B119,B119,E$2:E119,E119)=1,1,0)</f>
        <v>0</v>
      </c>
      <c r="I119">
        <f>IF(COUNTIFS(B$2:B119,B119,F$2:F119,F119)=1,1,0)</f>
        <v>0</v>
      </c>
    </row>
    <row r="120" spans="1:9" x14ac:dyDescent="0.3">
      <c r="A120">
        <v>130</v>
      </c>
      <c r="B120">
        <v>20</v>
      </c>
      <c r="C120" s="2">
        <v>44753.03292824074</v>
      </c>
      <c r="D120" s="2">
        <v>44753.038773148146</v>
      </c>
      <c r="E120" s="3">
        <f t="shared" si="3"/>
        <v>44753</v>
      </c>
      <c r="F120">
        <f t="shared" si="4"/>
        <v>7</v>
      </c>
      <c r="G120" s="4">
        <f t="shared" si="5"/>
        <v>8.4166666644159704</v>
      </c>
      <c r="H120">
        <f>IF(COUNTIFS(B$2:B120,B120,E$2:E120,E120)=1,1,0)</f>
        <v>1</v>
      </c>
      <c r="I120">
        <f>IF(COUNTIFS(B$2:B120,B120,F$2:F120,F120)=1,1,0)</f>
        <v>0</v>
      </c>
    </row>
    <row r="121" spans="1:9" x14ac:dyDescent="0.3">
      <c r="A121">
        <v>131</v>
      </c>
      <c r="B121">
        <v>20</v>
      </c>
      <c r="C121" s="2">
        <v>44753.316111111111</v>
      </c>
      <c r="D121" s="2">
        <v>44753.322615740741</v>
      </c>
      <c r="E121" s="3">
        <f t="shared" si="3"/>
        <v>44753</v>
      </c>
      <c r="F121">
        <f t="shared" si="4"/>
        <v>7</v>
      </c>
      <c r="G121" s="4">
        <f t="shared" si="5"/>
        <v>9.3666666664648801</v>
      </c>
      <c r="H121">
        <f>IF(COUNTIFS(B$2:B121,B121,E$2:E121,E121)=1,1,0)</f>
        <v>0</v>
      </c>
      <c r="I121">
        <f>IF(COUNTIFS(B$2:B121,B121,F$2:F121,F121)=1,1,0)</f>
        <v>0</v>
      </c>
    </row>
    <row r="122" spans="1:9" x14ac:dyDescent="0.3">
      <c r="A122">
        <v>132</v>
      </c>
      <c r="B122">
        <v>20</v>
      </c>
      <c r="C122" s="2">
        <v>44753.570300925923</v>
      </c>
      <c r="D122" s="2">
        <v>44753.577106481483</v>
      </c>
      <c r="E122" s="3">
        <f t="shared" si="3"/>
        <v>44753</v>
      </c>
      <c r="F122">
        <f t="shared" si="4"/>
        <v>7</v>
      </c>
      <c r="G122" s="4">
        <f t="shared" si="5"/>
        <v>9.8000000067986548</v>
      </c>
      <c r="H122">
        <f>IF(COUNTIFS(B$2:B122,B122,E$2:E122,E122)=1,1,0)</f>
        <v>0</v>
      </c>
      <c r="I122">
        <f>IF(COUNTIFS(B$2:B122,B122,F$2:F122,F122)=1,1,0)</f>
        <v>0</v>
      </c>
    </row>
    <row r="123" spans="1:9" x14ac:dyDescent="0.3">
      <c r="A123">
        <v>133</v>
      </c>
      <c r="B123">
        <v>20</v>
      </c>
      <c r="C123" s="2">
        <v>44753.767256944448</v>
      </c>
      <c r="D123" s="2">
        <v>44753.772002314814</v>
      </c>
      <c r="E123" s="3">
        <f t="shared" si="3"/>
        <v>44753</v>
      </c>
      <c r="F123">
        <f t="shared" si="4"/>
        <v>7</v>
      </c>
      <c r="G123" s="4">
        <f t="shared" si="5"/>
        <v>6.8333333276677877</v>
      </c>
      <c r="H123">
        <f>IF(COUNTIFS(B$2:B123,B123,E$2:E123,E123)=1,1,0)</f>
        <v>0</v>
      </c>
      <c r="I123">
        <f>IF(COUNTIFS(B$2:B123,B123,F$2:F123,F123)=1,1,0)</f>
        <v>0</v>
      </c>
    </row>
    <row r="124" spans="1:9" x14ac:dyDescent="0.3">
      <c r="A124">
        <v>134</v>
      </c>
      <c r="B124">
        <v>20</v>
      </c>
      <c r="C124" s="2">
        <v>44753.827361111114</v>
      </c>
      <c r="D124" s="2">
        <v>44753.831238425926</v>
      </c>
      <c r="E124" s="3">
        <f t="shared" si="3"/>
        <v>44753</v>
      </c>
      <c r="F124">
        <f t="shared" si="4"/>
        <v>7</v>
      </c>
      <c r="G124" s="4">
        <f t="shared" si="5"/>
        <v>5.5833333288319409</v>
      </c>
      <c r="H124">
        <f>IF(COUNTIFS(B$2:B124,B124,E$2:E124,E124)=1,1,0)</f>
        <v>0</v>
      </c>
      <c r="I124">
        <f>IF(COUNTIFS(B$2:B124,B124,F$2:F124,F124)=1,1,0)</f>
        <v>0</v>
      </c>
    </row>
    <row r="125" spans="1:9" x14ac:dyDescent="0.3">
      <c r="A125">
        <v>135</v>
      </c>
      <c r="B125">
        <v>20</v>
      </c>
      <c r="C125" s="2">
        <v>44753.867418981485</v>
      </c>
      <c r="D125" s="2">
        <v>44753.874895833331</v>
      </c>
      <c r="E125" s="3">
        <f t="shared" si="3"/>
        <v>44753</v>
      </c>
      <c r="F125">
        <f t="shared" si="4"/>
        <v>7</v>
      </c>
      <c r="G125" s="4">
        <f t="shared" si="5"/>
        <v>10.766666658455506</v>
      </c>
      <c r="H125">
        <f>IF(COUNTIFS(B$2:B125,B125,E$2:E125,E125)=1,1,0)</f>
        <v>0</v>
      </c>
      <c r="I125">
        <f>IF(COUNTIFS(B$2:B125,B125,F$2:F125,F125)=1,1,0)</f>
        <v>0</v>
      </c>
    </row>
    <row r="126" spans="1:9" x14ac:dyDescent="0.3">
      <c r="A126">
        <v>136</v>
      </c>
      <c r="B126">
        <v>20</v>
      </c>
      <c r="C126" s="2">
        <v>44754.207592592589</v>
      </c>
      <c r="D126" s="2">
        <v>44754.213356481479</v>
      </c>
      <c r="E126" s="3">
        <f t="shared" si="3"/>
        <v>44754</v>
      </c>
      <c r="F126">
        <f t="shared" si="4"/>
        <v>7</v>
      </c>
      <c r="G126" s="4">
        <f t="shared" si="5"/>
        <v>8.3000000019092113</v>
      </c>
      <c r="H126">
        <f>IF(COUNTIFS(B$2:B126,B126,E$2:E126,E126)=1,1,0)</f>
        <v>1</v>
      </c>
      <c r="I126">
        <f>IF(COUNTIFS(B$2:B126,B126,F$2:F126,F126)=1,1,0)</f>
        <v>0</v>
      </c>
    </row>
    <row r="127" spans="1:9" x14ac:dyDescent="0.3">
      <c r="A127">
        <v>137</v>
      </c>
      <c r="B127">
        <v>20</v>
      </c>
      <c r="C127" s="2">
        <v>44754.507384259261</v>
      </c>
      <c r="D127" s="2">
        <v>44754.512511574074</v>
      </c>
      <c r="E127" s="3">
        <f t="shared" si="3"/>
        <v>44754</v>
      </c>
      <c r="F127">
        <f t="shared" si="4"/>
        <v>7</v>
      </c>
      <c r="G127" s="4">
        <f t="shared" si="5"/>
        <v>7.3833333305083215</v>
      </c>
      <c r="H127">
        <f>IF(COUNTIFS(B$2:B127,B127,E$2:E127,E127)=1,1,0)</f>
        <v>0</v>
      </c>
      <c r="I127">
        <f>IF(COUNTIFS(B$2:B127,B127,F$2:F127,F127)=1,1,0)</f>
        <v>0</v>
      </c>
    </row>
    <row r="128" spans="1:9" x14ac:dyDescent="0.3">
      <c r="A128">
        <v>138</v>
      </c>
      <c r="B128">
        <v>20</v>
      </c>
      <c r="C128" s="2">
        <v>44754.858553240738</v>
      </c>
      <c r="D128" s="2">
        <v>44754.866157407407</v>
      </c>
      <c r="E128" s="3">
        <f t="shared" si="3"/>
        <v>44754</v>
      </c>
      <c r="F128">
        <f t="shared" si="4"/>
        <v>7</v>
      </c>
      <c r="G128" s="4">
        <f t="shared" si="5"/>
        <v>10.950000003213063</v>
      </c>
      <c r="H128">
        <f>IF(COUNTIFS(B$2:B128,B128,E$2:E128,E128)=1,1,0)</f>
        <v>0</v>
      </c>
      <c r="I128">
        <f>IF(COUNTIFS(B$2:B128,B128,F$2:F128,F128)=1,1,0)</f>
        <v>0</v>
      </c>
    </row>
    <row r="129" spans="1:9" x14ac:dyDescent="0.3">
      <c r="A129">
        <v>139</v>
      </c>
      <c r="B129">
        <v>20</v>
      </c>
      <c r="C129" s="2">
        <v>44755.071076388886</v>
      </c>
      <c r="D129" s="2">
        <v>44755.076608796298</v>
      </c>
      <c r="E129" s="3">
        <f t="shared" si="3"/>
        <v>44755</v>
      </c>
      <c r="F129">
        <f t="shared" si="4"/>
        <v>7</v>
      </c>
      <c r="G129" s="4">
        <f t="shared" si="5"/>
        <v>7.9666666744742543</v>
      </c>
      <c r="H129">
        <f>IF(COUNTIFS(B$2:B129,B129,E$2:E129,E129)=1,1,0)</f>
        <v>1</v>
      </c>
      <c r="I129">
        <f>IF(COUNTIFS(B$2:B129,B129,F$2:F129,F129)=1,1,0)</f>
        <v>0</v>
      </c>
    </row>
    <row r="130" spans="1:9" x14ac:dyDescent="0.3">
      <c r="A130">
        <v>140</v>
      </c>
      <c r="B130">
        <v>20</v>
      </c>
      <c r="C130" s="2">
        <v>44755.172974537039</v>
      </c>
      <c r="D130" s="2">
        <v>44755.176041666666</v>
      </c>
      <c r="E130" s="3">
        <f t="shared" ref="E130:E193" si="6">INT(C130)</f>
        <v>44755</v>
      </c>
      <c r="F130">
        <f t="shared" ref="F130:F193" si="7">MONTH(C130)</f>
        <v>7</v>
      </c>
      <c r="G130" s="4">
        <f t="shared" ref="G130:G193" si="8">(D130-C130)*1440</f>
        <v>4.4166666618548334</v>
      </c>
      <c r="H130">
        <f>IF(COUNTIFS(B$2:B130,B130,E$2:E130,E130)=1,1,0)</f>
        <v>0</v>
      </c>
      <c r="I130">
        <f>IF(COUNTIFS(B$2:B130,B130,F$2:F130,F130)=1,1,0)</f>
        <v>0</v>
      </c>
    </row>
    <row r="131" spans="1:9" x14ac:dyDescent="0.3">
      <c r="A131">
        <v>141</v>
      </c>
      <c r="B131">
        <v>20</v>
      </c>
      <c r="C131" s="2">
        <v>44755.21570601852</v>
      </c>
      <c r="D131" s="2">
        <v>44755.223773148151</v>
      </c>
      <c r="E131" s="3">
        <f t="shared" si="6"/>
        <v>44755</v>
      </c>
      <c r="F131">
        <f t="shared" si="7"/>
        <v>7</v>
      </c>
      <c r="G131" s="4">
        <f t="shared" si="8"/>
        <v>11.616666668560356</v>
      </c>
      <c r="H131">
        <f>IF(COUNTIFS(B$2:B131,B131,E$2:E131,E131)=1,1,0)</f>
        <v>0</v>
      </c>
      <c r="I131">
        <f>IF(COUNTIFS(B$2:B131,B131,F$2:F131,F131)=1,1,0)</f>
        <v>0</v>
      </c>
    </row>
    <row r="132" spans="1:9" x14ac:dyDescent="0.3">
      <c r="A132">
        <v>142</v>
      </c>
      <c r="B132">
        <v>20</v>
      </c>
      <c r="C132" s="2">
        <v>44755.452951388892</v>
      </c>
      <c r="D132" s="2">
        <v>44755.457453703704</v>
      </c>
      <c r="E132" s="3">
        <f t="shared" si="6"/>
        <v>44755</v>
      </c>
      <c r="F132">
        <f t="shared" si="7"/>
        <v>7</v>
      </c>
      <c r="G132" s="4">
        <f t="shared" si="8"/>
        <v>6.4833333296701312</v>
      </c>
      <c r="H132">
        <f>IF(COUNTIFS(B$2:B132,B132,E$2:E132,E132)=1,1,0)</f>
        <v>0</v>
      </c>
      <c r="I132">
        <f>IF(COUNTIFS(B$2:B132,B132,F$2:F132,F132)=1,1,0)</f>
        <v>0</v>
      </c>
    </row>
    <row r="133" spans="1:9" x14ac:dyDescent="0.3">
      <c r="A133">
        <v>143</v>
      </c>
      <c r="B133">
        <v>20</v>
      </c>
      <c r="C133" s="2">
        <v>44755.615879629629</v>
      </c>
      <c r="D133" s="2">
        <v>44755.622581018521</v>
      </c>
      <c r="E133" s="3">
        <f t="shared" si="6"/>
        <v>44755</v>
      </c>
      <c r="F133">
        <f t="shared" si="7"/>
        <v>7</v>
      </c>
      <c r="G133" s="4">
        <f t="shared" si="8"/>
        <v>9.6500000031664968</v>
      </c>
      <c r="H133">
        <f>IF(COUNTIFS(B$2:B133,B133,E$2:E133,E133)=1,1,0)</f>
        <v>0</v>
      </c>
      <c r="I133">
        <f>IF(COUNTIFS(B$2:B133,B133,F$2:F133,F133)=1,1,0)</f>
        <v>0</v>
      </c>
    </row>
    <row r="134" spans="1:9" x14ac:dyDescent="0.3">
      <c r="A134">
        <v>144</v>
      </c>
      <c r="B134">
        <v>20</v>
      </c>
      <c r="C134" s="2">
        <v>44755.715798611112</v>
      </c>
      <c r="D134" s="2">
        <v>44755.722025462965</v>
      </c>
      <c r="E134" s="3">
        <f t="shared" si="6"/>
        <v>44755</v>
      </c>
      <c r="F134">
        <f t="shared" si="7"/>
        <v>7</v>
      </c>
      <c r="G134" s="4">
        <f t="shared" si="8"/>
        <v>8.9666666672565043</v>
      </c>
      <c r="H134">
        <f>IF(COUNTIFS(B$2:B134,B134,E$2:E134,E134)=1,1,0)</f>
        <v>0</v>
      </c>
      <c r="I134">
        <f>IF(COUNTIFS(B$2:B134,B134,F$2:F134,F134)=1,1,0)</f>
        <v>0</v>
      </c>
    </row>
    <row r="135" spans="1:9" x14ac:dyDescent="0.3">
      <c r="A135">
        <v>145</v>
      </c>
      <c r="B135">
        <v>20</v>
      </c>
      <c r="C135" s="2">
        <v>44755.891238425924</v>
      </c>
      <c r="D135" s="2">
        <v>44755.898981481485</v>
      </c>
      <c r="E135" s="3">
        <f t="shared" si="6"/>
        <v>44755</v>
      </c>
      <c r="F135">
        <f t="shared" si="7"/>
        <v>7</v>
      </c>
      <c r="G135" s="4">
        <f t="shared" si="8"/>
        <v>11.15000000805594</v>
      </c>
      <c r="H135">
        <f>IF(COUNTIFS(B$2:B135,B135,E$2:E135,E135)=1,1,0)</f>
        <v>0</v>
      </c>
      <c r="I135">
        <f>IF(COUNTIFS(B$2:B135,B135,F$2:F135,F135)=1,1,0)</f>
        <v>0</v>
      </c>
    </row>
    <row r="136" spans="1:9" x14ac:dyDescent="0.3">
      <c r="A136">
        <v>146</v>
      </c>
      <c r="B136">
        <v>20</v>
      </c>
      <c r="C136" s="2">
        <v>44755.9530787037</v>
      </c>
      <c r="D136" s="2">
        <v>44755.959594907406</v>
      </c>
      <c r="E136" s="3">
        <f t="shared" si="6"/>
        <v>44755</v>
      </c>
      <c r="F136">
        <f t="shared" si="7"/>
        <v>7</v>
      </c>
      <c r="G136" s="4">
        <f t="shared" si="8"/>
        <v>9.3833333370275795</v>
      </c>
      <c r="H136">
        <f>IF(COUNTIFS(B$2:B136,B136,E$2:E136,E136)=1,1,0)</f>
        <v>0</v>
      </c>
      <c r="I136">
        <f>IF(COUNTIFS(B$2:B136,B136,F$2:F136,F136)=1,1,0)</f>
        <v>0</v>
      </c>
    </row>
    <row r="137" spans="1:9" x14ac:dyDescent="0.3">
      <c r="A137">
        <v>147</v>
      </c>
      <c r="B137">
        <v>20</v>
      </c>
      <c r="C137" s="2">
        <v>44756.205787037034</v>
      </c>
      <c r="D137" s="2">
        <v>44756.211550925924</v>
      </c>
      <c r="E137" s="3">
        <f t="shared" si="6"/>
        <v>44756</v>
      </c>
      <c r="F137">
        <f t="shared" si="7"/>
        <v>7</v>
      </c>
      <c r="G137" s="4">
        <f t="shared" si="8"/>
        <v>8.3000000019092113</v>
      </c>
      <c r="H137">
        <f>IF(COUNTIFS(B$2:B137,B137,E$2:E137,E137)=1,1,0)</f>
        <v>1</v>
      </c>
      <c r="I137">
        <f>IF(COUNTIFS(B$2:B137,B137,F$2:F137,F137)=1,1,0)</f>
        <v>0</v>
      </c>
    </row>
    <row r="138" spans="1:9" x14ac:dyDescent="0.3">
      <c r="A138">
        <v>148</v>
      </c>
      <c r="B138">
        <v>20</v>
      </c>
      <c r="C138" s="2">
        <v>44756.48028935185</v>
      </c>
      <c r="D138" s="2">
        <v>44756.485949074071</v>
      </c>
      <c r="E138" s="3">
        <f t="shared" si="6"/>
        <v>44756</v>
      </c>
      <c r="F138">
        <f t="shared" si="7"/>
        <v>7</v>
      </c>
      <c r="G138" s="4">
        <f t="shared" si="8"/>
        <v>8.1499999982770532</v>
      </c>
      <c r="H138">
        <f>IF(COUNTIFS(B$2:B138,B138,E$2:E138,E138)=1,1,0)</f>
        <v>0</v>
      </c>
      <c r="I138">
        <f>IF(COUNTIFS(B$2:B138,B138,F$2:F138,F138)=1,1,0)</f>
        <v>0</v>
      </c>
    </row>
    <row r="139" spans="1:9" x14ac:dyDescent="0.3">
      <c r="A139">
        <v>149</v>
      </c>
      <c r="B139">
        <v>20</v>
      </c>
      <c r="C139" s="2">
        <v>44756.69972222222</v>
      </c>
      <c r="D139" s="2">
        <v>44756.703645833331</v>
      </c>
      <c r="E139" s="3">
        <f t="shared" si="6"/>
        <v>44756</v>
      </c>
      <c r="F139">
        <f t="shared" si="7"/>
        <v>7</v>
      </c>
      <c r="G139" s="4">
        <f t="shared" si="8"/>
        <v>5.6500000006053597</v>
      </c>
      <c r="H139">
        <f>IF(COUNTIFS(B$2:B139,B139,E$2:E139,E139)=1,1,0)</f>
        <v>0</v>
      </c>
      <c r="I139">
        <f>IF(COUNTIFS(B$2:B139,B139,F$2:F139,F139)=1,1,0)</f>
        <v>0</v>
      </c>
    </row>
    <row r="140" spans="1:9" x14ac:dyDescent="0.3">
      <c r="A140">
        <v>150</v>
      </c>
      <c r="B140">
        <v>21</v>
      </c>
      <c r="C140" s="2">
        <v>44751.271099537036</v>
      </c>
      <c r="D140" s="2">
        <v>44751.27715277778</v>
      </c>
      <c r="E140" s="3">
        <f t="shared" si="6"/>
        <v>44751</v>
      </c>
      <c r="F140">
        <f t="shared" si="7"/>
        <v>7</v>
      </c>
      <c r="G140" s="4">
        <f t="shared" si="8"/>
        <v>8.7166666716802865</v>
      </c>
      <c r="H140">
        <f>IF(COUNTIFS(B$2:B140,B140,E$2:E140,E140)=1,1,0)</f>
        <v>1</v>
      </c>
      <c r="I140">
        <f>IF(COUNTIFS(B$2:B140,B140,F$2:F140,F140)=1,1,0)</f>
        <v>1</v>
      </c>
    </row>
    <row r="141" spans="1:9" x14ac:dyDescent="0.3">
      <c r="A141">
        <v>151</v>
      </c>
      <c r="B141">
        <v>21</v>
      </c>
      <c r="C141" s="2">
        <v>44751.507662037038</v>
      </c>
      <c r="D141" s="2">
        <v>44751.51053240741</v>
      </c>
      <c r="E141" s="3">
        <f t="shared" si="6"/>
        <v>44751</v>
      </c>
      <c r="F141">
        <f t="shared" si="7"/>
        <v>7</v>
      </c>
      <c r="G141" s="4">
        <f t="shared" si="8"/>
        <v>4.1333333356305957</v>
      </c>
      <c r="H141">
        <f>IF(COUNTIFS(B$2:B141,B141,E$2:E141,E141)=1,1,0)</f>
        <v>0</v>
      </c>
      <c r="I141">
        <f>IF(COUNTIFS(B$2:B141,B141,F$2:F141,F141)=1,1,0)</f>
        <v>0</v>
      </c>
    </row>
    <row r="142" spans="1:9" x14ac:dyDescent="0.3">
      <c r="A142">
        <v>152</v>
      </c>
      <c r="B142">
        <v>21</v>
      </c>
      <c r="C142" s="2">
        <v>44751.702534722222</v>
      </c>
      <c r="D142" s="2">
        <v>44751.707719907405</v>
      </c>
      <c r="E142" s="3">
        <f t="shared" si="6"/>
        <v>44751</v>
      </c>
      <c r="F142">
        <f t="shared" si="7"/>
        <v>7</v>
      </c>
      <c r="G142" s="4">
        <f t="shared" si="8"/>
        <v>7.4666666623670608</v>
      </c>
      <c r="H142">
        <f>IF(COUNTIFS(B$2:B142,B142,E$2:E142,E142)=1,1,0)</f>
        <v>0</v>
      </c>
      <c r="I142">
        <f>IF(COUNTIFS(B$2:B142,B142,F$2:F142,F142)=1,1,0)</f>
        <v>0</v>
      </c>
    </row>
    <row r="143" spans="1:9" x14ac:dyDescent="0.3">
      <c r="A143">
        <v>153</v>
      </c>
      <c r="B143">
        <v>21</v>
      </c>
      <c r="C143" s="2">
        <v>44752.016111111108</v>
      </c>
      <c r="D143" s="2">
        <v>44752.021736111114</v>
      </c>
      <c r="E143" s="3">
        <f t="shared" si="6"/>
        <v>44752</v>
      </c>
      <c r="F143">
        <f t="shared" si="7"/>
        <v>7</v>
      </c>
      <c r="G143" s="4">
        <f t="shared" si="8"/>
        <v>8.1000000075437129</v>
      </c>
      <c r="H143">
        <f>IF(COUNTIFS(B$2:B143,B143,E$2:E143,E143)=1,1,0)</f>
        <v>1</v>
      </c>
      <c r="I143">
        <f>IF(COUNTIFS(B$2:B143,B143,F$2:F143,F143)=1,1,0)</f>
        <v>0</v>
      </c>
    </row>
    <row r="144" spans="1:9" x14ac:dyDescent="0.3">
      <c r="A144">
        <v>154</v>
      </c>
      <c r="B144">
        <v>21</v>
      </c>
      <c r="C144" s="2">
        <v>44752.331053240741</v>
      </c>
      <c r="D144" s="2">
        <v>44752.335115740738</v>
      </c>
      <c r="E144" s="3">
        <f t="shared" si="6"/>
        <v>44752</v>
      </c>
      <c r="F144">
        <f t="shared" si="7"/>
        <v>7</v>
      </c>
      <c r="G144" s="4">
        <f t="shared" si="8"/>
        <v>5.8499999949708581</v>
      </c>
      <c r="H144">
        <f>IF(COUNTIFS(B$2:B144,B144,E$2:E144,E144)=1,1,0)</f>
        <v>0</v>
      </c>
      <c r="I144">
        <f>IF(COUNTIFS(B$2:B144,B144,F$2:F144,F144)=1,1,0)</f>
        <v>0</v>
      </c>
    </row>
    <row r="145" spans="1:9" x14ac:dyDescent="0.3">
      <c r="A145">
        <v>155</v>
      </c>
      <c r="B145">
        <v>21</v>
      </c>
      <c r="C145" s="2">
        <v>44752.564733796295</v>
      </c>
      <c r="D145" s="2">
        <v>44752.57236111111</v>
      </c>
      <c r="E145" s="3">
        <f t="shared" si="6"/>
        <v>44752</v>
      </c>
      <c r="F145">
        <f t="shared" si="7"/>
        <v>7</v>
      </c>
      <c r="G145" s="4">
        <f t="shared" si="8"/>
        <v>10.983333333861083</v>
      </c>
      <c r="H145">
        <f>IF(COUNTIFS(B$2:B145,B145,E$2:E145,E145)=1,1,0)</f>
        <v>0</v>
      </c>
      <c r="I145">
        <f>IF(COUNTIFS(B$2:B145,B145,F$2:F145,F145)=1,1,0)</f>
        <v>0</v>
      </c>
    </row>
    <row r="146" spans="1:9" x14ac:dyDescent="0.3">
      <c r="A146">
        <v>156</v>
      </c>
      <c r="B146">
        <v>21</v>
      </c>
      <c r="C146" s="2">
        <v>44752.886111111111</v>
      </c>
      <c r="D146" s="2">
        <v>44752.89267361111</v>
      </c>
      <c r="E146" s="3">
        <f t="shared" si="6"/>
        <v>44752</v>
      </c>
      <c r="F146">
        <f t="shared" si="7"/>
        <v>7</v>
      </c>
      <c r="G146" s="4">
        <f t="shared" si="8"/>
        <v>9.4499999983236194</v>
      </c>
      <c r="H146">
        <f>IF(COUNTIFS(B$2:B146,B146,E$2:E146,E146)=1,1,0)</f>
        <v>0</v>
      </c>
      <c r="I146">
        <f>IF(COUNTIFS(B$2:B146,B146,F$2:F146,F146)=1,1,0)</f>
        <v>0</v>
      </c>
    </row>
    <row r="147" spans="1:9" x14ac:dyDescent="0.3">
      <c r="A147">
        <v>157</v>
      </c>
      <c r="B147">
        <v>21</v>
      </c>
      <c r="C147" s="2">
        <v>44753.201157407406</v>
      </c>
      <c r="D147" s="2">
        <v>44753.209780092591</v>
      </c>
      <c r="E147" s="3">
        <f t="shared" si="6"/>
        <v>44753</v>
      </c>
      <c r="F147">
        <f t="shared" si="7"/>
        <v>7</v>
      </c>
      <c r="G147" s="4">
        <f t="shared" si="8"/>
        <v>12.416666666977108</v>
      </c>
      <c r="H147">
        <f>IF(COUNTIFS(B$2:B147,B147,E$2:E147,E147)=1,1,0)</f>
        <v>1</v>
      </c>
      <c r="I147">
        <f>IF(COUNTIFS(B$2:B147,B147,F$2:F147,F147)=1,1,0)</f>
        <v>0</v>
      </c>
    </row>
    <row r="148" spans="1:9" x14ac:dyDescent="0.3">
      <c r="A148">
        <v>158</v>
      </c>
      <c r="B148">
        <v>21</v>
      </c>
      <c r="C148" s="2">
        <v>44753.482673611114</v>
      </c>
      <c r="D148" s="2">
        <v>44753.487280092595</v>
      </c>
      <c r="E148" s="3">
        <f t="shared" si="6"/>
        <v>44753</v>
      </c>
      <c r="F148">
        <f t="shared" si="7"/>
        <v>7</v>
      </c>
      <c r="G148" s="4">
        <f t="shared" si="8"/>
        <v>6.6333333333022892</v>
      </c>
      <c r="H148">
        <f>IF(COUNTIFS(B$2:B148,B148,E$2:E148,E148)=1,1,0)</f>
        <v>0</v>
      </c>
      <c r="I148">
        <f>IF(COUNTIFS(B$2:B148,B148,F$2:F148,F148)=1,1,0)</f>
        <v>0</v>
      </c>
    </row>
    <row r="149" spans="1:9" x14ac:dyDescent="0.3">
      <c r="A149">
        <v>159</v>
      </c>
      <c r="B149">
        <v>21</v>
      </c>
      <c r="C149" s="2">
        <v>44753.603900462964</v>
      </c>
      <c r="D149" s="2">
        <v>44753.60565972222</v>
      </c>
      <c r="E149" s="3">
        <f t="shared" si="6"/>
        <v>44753</v>
      </c>
      <c r="F149">
        <f t="shared" si="7"/>
        <v>7</v>
      </c>
      <c r="G149" s="4">
        <f t="shared" si="8"/>
        <v>2.5333333283197135</v>
      </c>
      <c r="H149">
        <f>IF(COUNTIFS(B$2:B149,B149,E$2:E149,E149)=1,1,0)</f>
        <v>0</v>
      </c>
      <c r="I149">
        <f>IF(COUNTIFS(B$2:B149,B149,F$2:F149,F149)=1,1,0)</f>
        <v>0</v>
      </c>
    </row>
    <row r="150" spans="1:9" x14ac:dyDescent="0.3">
      <c r="A150">
        <v>160</v>
      </c>
      <c r="B150">
        <v>21</v>
      </c>
      <c r="C150" s="2">
        <v>44753.80127314815</v>
      </c>
      <c r="D150" s="2">
        <v>44753.80572916667</v>
      </c>
      <c r="E150" s="3">
        <f t="shared" si="6"/>
        <v>44753</v>
      </c>
      <c r="F150">
        <f t="shared" si="7"/>
        <v>7</v>
      </c>
      <c r="G150" s="4">
        <f t="shared" si="8"/>
        <v>6.4166666683740914</v>
      </c>
      <c r="H150">
        <f>IF(COUNTIFS(B$2:B150,B150,E$2:E150,E150)=1,1,0)</f>
        <v>0</v>
      </c>
      <c r="I150">
        <f>IF(COUNTIFS(B$2:B150,B150,F$2:F150,F150)=1,1,0)</f>
        <v>0</v>
      </c>
    </row>
    <row r="151" spans="1:9" x14ac:dyDescent="0.3">
      <c r="A151">
        <v>161</v>
      </c>
      <c r="B151">
        <v>21</v>
      </c>
      <c r="C151" s="2">
        <v>44754.056388888886</v>
      </c>
      <c r="D151" s="2">
        <v>44754.064201388886</v>
      </c>
      <c r="E151" s="3">
        <f t="shared" si="6"/>
        <v>44754</v>
      </c>
      <c r="F151">
        <f t="shared" si="7"/>
        <v>7</v>
      </c>
      <c r="G151" s="4">
        <f t="shared" si="8"/>
        <v>11.25</v>
      </c>
      <c r="H151">
        <f>IF(COUNTIFS(B$2:B151,B151,E$2:E151,E151)=1,1,0)</f>
        <v>1</v>
      </c>
      <c r="I151">
        <f>IF(COUNTIFS(B$2:B151,B151,F$2:F151,F151)=1,1,0)</f>
        <v>0</v>
      </c>
    </row>
    <row r="152" spans="1:9" x14ac:dyDescent="0.3">
      <c r="A152">
        <v>162</v>
      </c>
      <c r="B152">
        <v>21</v>
      </c>
      <c r="C152" s="2">
        <v>44754.351307870369</v>
      </c>
      <c r="D152" s="2">
        <v>44754.359050925923</v>
      </c>
      <c r="E152" s="3">
        <f t="shared" si="6"/>
        <v>44754</v>
      </c>
      <c r="F152">
        <f t="shared" si="7"/>
        <v>7</v>
      </c>
      <c r="G152" s="4">
        <f t="shared" si="8"/>
        <v>11.149999997578561</v>
      </c>
      <c r="H152">
        <f>IF(COUNTIFS(B$2:B152,B152,E$2:E152,E152)=1,1,0)</f>
        <v>0</v>
      </c>
      <c r="I152">
        <f>IF(COUNTIFS(B$2:B152,B152,F$2:F152,F152)=1,1,0)</f>
        <v>0</v>
      </c>
    </row>
    <row r="153" spans="1:9" x14ac:dyDescent="0.3">
      <c r="A153">
        <v>163</v>
      </c>
      <c r="B153">
        <v>21</v>
      </c>
      <c r="C153" s="2">
        <v>44754.395486111112</v>
      </c>
      <c r="D153" s="2">
        <v>44754.399953703702</v>
      </c>
      <c r="E153" s="3">
        <f t="shared" si="6"/>
        <v>44754</v>
      </c>
      <c r="F153">
        <f t="shared" si="7"/>
        <v>7</v>
      </c>
      <c r="G153" s="4">
        <f t="shared" si="8"/>
        <v>6.4333333284594119</v>
      </c>
      <c r="H153">
        <f>IF(COUNTIFS(B$2:B153,B153,E$2:E153,E153)=1,1,0)</f>
        <v>0</v>
      </c>
      <c r="I153">
        <f>IF(COUNTIFS(B$2:B153,B153,F$2:F153,F153)=1,1,0)</f>
        <v>0</v>
      </c>
    </row>
    <row r="154" spans="1:9" x14ac:dyDescent="0.3">
      <c r="A154">
        <v>164</v>
      </c>
      <c r="B154">
        <v>21</v>
      </c>
      <c r="C154" s="2">
        <v>44754.727569444447</v>
      </c>
      <c r="D154" s="2">
        <v>44754.73333333333</v>
      </c>
      <c r="E154" s="3">
        <f t="shared" si="6"/>
        <v>44754</v>
      </c>
      <c r="F154">
        <f t="shared" si="7"/>
        <v>7</v>
      </c>
      <c r="G154" s="4">
        <f t="shared" si="8"/>
        <v>8.2999999914318323</v>
      </c>
      <c r="H154">
        <f>IF(COUNTIFS(B$2:B154,B154,E$2:E154,E154)=1,1,0)</f>
        <v>0</v>
      </c>
      <c r="I154">
        <f>IF(COUNTIFS(B$2:B154,B154,F$2:F154,F154)=1,1,0)</f>
        <v>0</v>
      </c>
    </row>
    <row r="155" spans="1:9" x14ac:dyDescent="0.3">
      <c r="A155">
        <v>165</v>
      </c>
      <c r="B155">
        <v>21</v>
      </c>
      <c r="C155" s="2">
        <v>44755.017488425925</v>
      </c>
      <c r="D155" s="2">
        <v>44755.021053240744</v>
      </c>
      <c r="E155" s="3">
        <f t="shared" si="6"/>
        <v>44755</v>
      </c>
      <c r="F155">
        <f t="shared" si="7"/>
        <v>7</v>
      </c>
      <c r="G155" s="4">
        <f t="shared" si="8"/>
        <v>5.1333333388902247</v>
      </c>
      <c r="H155">
        <f>IF(COUNTIFS(B$2:B155,B155,E$2:E155,E155)=1,1,0)</f>
        <v>1</v>
      </c>
      <c r="I155">
        <f>IF(COUNTIFS(B$2:B155,B155,F$2:F155,F155)=1,1,0)</f>
        <v>0</v>
      </c>
    </row>
    <row r="156" spans="1:9" x14ac:dyDescent="0.3">
      <c r="A156">
        <v>166</v>
      </c>
      <c r="B156">
        <v>21</v>
      </c>
      <c r="C156" s="2">
        <v>44755.2731712963</v>
      </c>
      <c r="D156" s="2">
        <v>44755.276446759257</v>
      </c>
      <c r="E156" s="3">
        <f t="shared" si="6"/>
        <v>44755</v>
      </c>
      <c r="F156">
        <f t="shared" si="7"/>
        <v>7</v>
      </c>
      <c r="G156" s="4">
        <f t="shared" si="8"/>
        <v>4.7166666586417705</v>
      </c>
      <c r="H156">
        <f>IF(COUNTIFS(B$2:B156,B156,E$2:E156,E156)=1,1,0)</f>
        <v>0</v>
      </c>
      <c r="I156">
        <f>IF(COUNTIFS(B$2:B156,B156,F$2:F156,F156)=1,1,0)</f>
        <v>0</v>
      </c>
    </row>
    <row r="157" spans="1:9" x14ac:dyDescent="0.3">
      <c r="A157">
        <v>167</v>
      </c>
      <c r="B157">
        <v>21</v>
      </c>
      <c r="C157" s="2">
        <v>44755.55914351852</v>
      </c>
      <c r="D157" s="2">
        <v>44755.566828703704</v>
      </c>
      <c r="E157" s="3">
        <f t="shared" si="6"/>
        <v>44755</v>
      </c>
      <c r="F157">
        <f t="shared" si="7"/>
        <v>7</v>
      </c>
      <c r="G157" s="4">
        <f t="shared" si="8"/>
        <v>11.066666665719822</v>
      </c>
      <c r="H157">
        <f>IF(COUNTIFS(B$2:B157,B157,E$2:E157,E157)=1,1,0)</f>
        <v>0</v>
      </c>
      <c r="I157">
        <f>IF(COUNTIFS(B$2:B157,B157,F$2:F157,F157)=1,1,0)</f>
        <v>0</v>
      </c>
    </row>
    <row r="158" spans="1:9" x14ac:dyDescent="0.3">
      <c r="A158">
        <v>168</v>
      </c>
      <c r="B158">
        <v>21</v>
      </c>
      <c r="C158" s="2">
        <v>44755.712627314817</v>
      </c>
      <c r="D158" s="2">
        <v>44755.719560185185</v>
      </c>
      <c r="E158" s="3">
        <f t="shared" si="6"/>
        <v>44755</v>
      </c>
      <c r="F158">
        <f t="shared" si="7"/>
        <v>7</v>
      </c>
      <c r="G158" s="4">
        <f t="shared" si="8"/>
        <v>9.9833333306014538</v>
      </c>
      <c r="H158">
        <f>IF(COUNTIFS(B$2:B158,B158,E$2:E158,E158)=1,1,0)</f>
        <v>0</v>
      </c>
      <c r="I158">
        <f>IF(COUNTIFS(B$2:B158,B158,F$2:F158,F158)=1,1,0)</f>
        <v>0</v>
      </c>
    </row>
    <row r="159" spans="1:9" x14ac:dyDescent="0.3">
      <c r="A159">
        <v>169</v>
      </c>
      <c r="B159">
        <v>21</v>
      </c>
      <c r="C159" s="2">
        <v>44756.016736111109</v>
      </c>
      <c r="D159" s="2">
        <v>44756.020671296297</v>
      </c>
      <c r="E159" s="3">
        <f t="shared" si="6"/>
        <v>44756</v>
      </c>
      <c r="F159">
        <f t="shared" si="7"/>
        <v>7</v>
      </c>
      <c r="G159" s="4">
        <f t="shared" si="8"/>
        <v>5.6666666711680591</v>
      </c>
      <c r="H159">
        <f>IF(COUNTIFS(B$2:B159,B159,E$2:E159,E159)=1,1,0)</f>
        <v>1</v>
      </c>
      <c r="I159">
        <f>IF(COUNTIFS(B$2:B159,B159,F$2:F159,F159)=1,1,0)</f>
        <v>0</v>
      </c>
    </row>
    <row r="160" spans="1:9" x14ac:dyDescent="0.3">
      <c r="A160">
        <v>170</v>
      </c>
      <c r="B160">
        <v>21</v>
      </c>
      <c r="C160" s="2">
        <v>44756.176898148151</v>
      </c>
      <c r="D160" s="2">
        <v>44756.183217592596</v>
      </c>
      <c r="E160" s="3">
        <f t="shared" si="6"/>
        <v>44756</v>
      </c>
      <c r="F160">
        <f t="shared" si="7"/>
        <v>7</v>
      </c>
      <c r="G160" s="4">
        <f t="shared" si="8"/>
        <v>9.1000000003259629</v>
      </c>
      <c r="H160">
        <f>IF(COUNTIFS(B$2:B160,B160,E$2:E160,E160)=1,1,0)</f>
        <v>0</v>
      </c>
      <c r="I160">
        <f>IF(COUNTIFS(B$2:B160,B160,F$2:F160,F160)=1,1,0)</f>
        <v>0</v>
      </c>
    </row>
    <row r="161" spans="1:9" x14ac:dyDescent="0.3">
      <c r="A161">
        <v>171</v>
      </c>
      <c r="B161">
        <v>21</v>
      </c>
      <c r="C161" s="2">
        <v>44756.491180555553</v>
      </c>
      <c r="D161" s="2">
        <v>44756.495393518519</v>
      </c>
      <c r="E161" s="3">
        <f t="shared" si="6"/>
        <v>44756</v>
      </c>
      <c r="F161">
        <f t="shared" si="7"/>
        <v>7</v>
      </c>
      <c r="G161" s="4">
        <f t="shared" si="8"/>
        <v>6.0666666703764349</v>
      </c>
      <c r="H161">
        <f>IF(COUNTIFS(B$2:B161,B161,E$2:E161,E161)=1,1,0)</f>
        <v>0</v>
      </c>
      <c r="I161">
        <f>IF(COUNTIFS(B$2:B161,B161,F$2:F161,F161)=1,1,0)</f>
        <v>0</v>
      </c>
    </row>
    <row r="162" spans="1:9" x14ac:dyDescent="0.3">
      <c r="A162">
        <v>172</v>
      </c>
      <c r="B162">
        <v>21</v>
      </c>
      <c r="C162" s="2">
        <v>44756.537708333337</v>
      </c>
      <c r="D162" s="2">
        <v>44756.540601851855</v>
      </c>
      <c r="E162" s="3">
        <f t="shared" si="6"/>
        <v>44756</v>
      </c>
      <c r="F162">
        <f t="shared" si="7"/>
        <v>7</v>
      </c>
      <c r="G162" s="4">
        <f t="shared" si="8"/>
        <v>4.1666666662786156</v>
      </c>
      <c r="H162">
        <f>IF(COUNTIFS(B$2:B162,B162,E$2:E162,E162)=1,1,0)</f>
        <v>0</v>
      </c>
      <c r="I162">
        <f>IF(COUNTIFS(B$2:B162,B162,F$2:F162,F162)=1,1,0)</f>
        <v>0</v>
      </c>
    </row>
    <row r="163" spans="1:9" x14ac:dyDescent="0.3">
      <c r="A163">
        <v>173</v>
      </c>
      <c r="B163">
        <v>21</v>
      </c>
      <c r="C163" s="2">
        <v>44756.75340277778</v>
      </c>
      <c r="D163" s="2">
        <v>44756.760300925926</v>
      </c>
      <c r="E163" s="3">
        <f t="shared" si="6"/>
        <v>44756</v>
      </c>
      <c r="F163">
        <f t="shared" si="7"/>
        <v>7</v>
      </c>
      <c r="G163" s="4">
        <f t="shared" si="8"/>
        <v>9.9333333293907344</v>
      </c>
      <c r="H163">
        <f>IF(COUNTIFS(B$2:B163,B163,E$2:E163,E163)=1,1,0)</f>
        <v>0</v>
      </c>
      <c r="I163">
        <f>IF(COUNTIFS(B$2:B163,B163,F$2:F163,F163)=1,1,0)</f>
        <v>0</v>
      </c>
    </row>
    <row r="164" spans="1:9" x14ac:dyDescent="0.3">
      <c r="A164">
        <v>174</v>
      </c>
      <c r="B164">
        <v>21</v>
      </c>
      <c r="C164" s="2">
        <v>44756.93917824074</v>
      </c>
      <c r="D164" s="2">
        <v>44756.945243055554</v>
      </c>
      <c r="E164" s="3">
        <f t="shared" si="6"/>
        <v>44756</v>
      </c>
      <c r="F164">
        <f t="shared" si="7"/>
        <v>7</v>
      </c>
      <c r="G164" s="4">
        <f t="shared" si="8"/>
        <v>8.733333331765607</v>
      </c>
      <c r="H164">
        <f>IF(COUNTIFS(B$2:B164,B164,E$2:E164,E164)=1,1,0)</f>
        <v>0</v>
      </c>
      <c r="I164">
        <f>IF(COUNTIFS(B$2:B164,B164,F$2:F164,F164)=1,1,0)</f>
        <v>0</v>
      </c>
    </row>
    <row r="165" spans="1:9" x14ac:dyDescent="0.3">
      <c r="A165">
        <v>175</v>
      </c>
      <c r="B165">
        <v>21</v>
      </c>
      <c r="C165" s="2">
        <v>44757.287962962961</v>
      </c>
      <c r="D165" s="2">
        <v>44757.293136574073</v>
      </c>
      <c r="E165" s="3">
        <f t="shared" si="6"/>
        <v>44757</v>
      </c>
      <c r="F165">
        <f t="shared" si="7"/>
        <v>7</v>
      </c>
      <c r="G165" s="4">
        <f t="shared" si="8"/>
        <v>7.4500000022817403</v>
      </c>
      <c r="H165">
        <f>IF(COUNTIFS(B$2:B165,B165,E$2:E165,E165)=1,1,0)</f>
        <v>1</v>
      </c>
      <c r="I165">
        <f>IF(COUNTIFS(B$2:B165,B165,F$2:F165,F165)=1,1,0)</f>
        <v>0</v>
      </c>
    </row>
    <row r="166" spans="1:9" x14ac:dyDescent="0.3">
      <c r="A166">
        <v>176</v>
      </c>
      <c r="B166">
        <v>21</v>
      </c>
      <c r="C166" s="2">
        <v>44757.378831018519</v>
      </c>
      <c r="D166" s="2">
        <v>44757.388460648152</v>
      </c>
      <c r="E166" s="3">
        <f t="shared" si="6"/>
        <v>44757</v>
      </c>
      <c r="F166">
        <f t="shared" si="7"/>
        <v>7</v>
      </c>
      <c r="G166" s="4">
        <f t="shared" si="8"/>
        <v>13.866666670655832</v>
      </c>
      <c r="H166">
        <f>IF(COUNTIFS(B$2:B166,B166,E$2:E166,E166)=1,1,0)</f>
        <v>0</v>
      </c>
      <c r="I166">
        <f>IF(COUNTIFS(B$2:B166,B166,F$2:F166,F166)=1,1,0)</f>
        <v>0</v>
      </c>
    </row>
    <row r="167" spans="1:9" x14ac:dyDescent="0.3">
      <c r="A167">
        <v>177</v>
      </c>
      <c r="B167">
        <v>22</v>
      </c>
      <c r="C167" s="2">
        <v>44693.362384259257</v>
      </c>
      <c r="D167" s="2">
        <v>44693.37158564815</v>
      </c>
      <c r="E167" s="3">
        <f t="shared" si="6"/>
        <v>44693</v>
      </c>
      <c r="F167">
        <f t="shared" si="7"/>
        <v>5</v>
      </c>
      <c r="G167" s="4">
        <f t="shared" si="8"/>
        <v>13.250000006519258</v>
      </c>
      <c r="H167">
        <f>IF(COUNTIFS(B$2:B167,B167,E$2:E167,E167)=1,1,0)</f>
        <v>1</v>
      </c>
      <c r="I167">
        <f>IF(COUNTIFS(B$2:B167,B167,F$2:F167,F167)=1,1,0)</f>
        <v>1</v>
      </c>
    </row>
    <row r="168" spans="1:9" x14ac:dyDescent="0.3">
      <c r="A168">
        <v>178</v>
      </c>
      <c r="B168">
        <v>22</v>
      </c>
      <c r="C168" s="2">
        <v>44693.63658564815</v>
      </c>
      <c r="D168" s="2">
        <v>44693.642083333332</v>
      </c>
      <c r="E168" s="3">
        <f t="shared" si="6"/>
        <v>44693</v>
      </c>
      <c r="F168">
        <f t="shared" si="7"/>
        <v>5</v>
      </c>
      <c r="G168" s="4">
        <f t="shared" si="8"/>
        <v>7.9166666627861559</v>
      </c>
      <c r="H168">
        <f>IF(COUNTIFS(B$2:B168,B168,E$2:E168,E168)=1,1,0)</f>
        <v>0</v>
      </c>
      <c r="I168">
        <f>IF(COUNTIFS(B$2:B168,B168,F$2:F168,F168)=1,1,0)</f>
        <v>0</v>
      </c>
    </row>
    <row r="169" spans="1:9" x14ac:dyDescent="0.3">
      <c r="A169">
        <v>179</v>
      </c>
      <c r="B169">
        <v>22</v>
      </c>
      <c r="C169" s="2">
        <v>44693.951504629629</v>
      </c>
      <c r="D169" s="2">
        <v>44693.954386574071</v>
      </c>
      <c r="E169" s="3">
        <f t="shared" si="6"/>
        <v>44693</v>
      </c>
      <c r="F169">
        <f t="shared" si="7"/>
        <v>5</v>
      </c>
      <c r="G169" s="4">
        <f t="shared" si="8"/>
        <v>4.1499999957159162</v>
      </c>
      <c r="H169">
        <f>IF(COUNTIFS(B$2:B169,B169,E$2:E169,E169)=1,1,0)</f>
        <v>0</v>
      </c>
      <c r="I169">
        <f>IF(COUNTIFS(B$2:B169,B169,F$2:F169,F169)=1,1,0)</f>
        <v>0</v>
      </c>
    </row>
    <row r="170" spans="1:9" x14ac:dyDescent="0.3">
      <c r="A170">
        <v>180</v>
      </c>
      <c r="B170">
        <v>23</v>
      </c>
      <c r="C170" s="2">
        <v>44574.84511574074</v>
      </c>
      <c r="D170" s="2">
        <v>44574.849826388891</v>
      </c>
      <c r="E170" s="3">
        <f t="shared" si="6"/>
        <v>44574</v>
      </c>
      <c r="F170">
        <f t="shared" si="7"/>
        <v>1</v>
      </c>
      <c r="G170" s="4">
        <f t="shared" si="8"/>
        <v>6.7833333369344473</v>
      </c>
      <c r="H170">
        <f>IF(COUNTIFS(B$2:B170,B170,E$2:E170,E170)=1,1,0)</f>
        <v>1</v>
      </c>
      <c r="I170">
        <f>IF(COUNTIFS(B$2:B170,B170,F$2:F170,F170)=1,1,0)</f>
        <v>1</v>
      </c>
    </row>
    <row r="171" spans="1:9" x14ac:dyDescent="0.3">
      <c r="A171">
        <v>181</v>
      </c>
      <c r="B171">
        <v>23</v>
      </c>
      <c r="C171" s="2">
        <v>44574.918923611112</v>
      </c>
      <c r="D171" s="2">
        <v>44574.92827546296</v>
      </c>
      <c r="E171" s="3">
        <f t="shared" si="6"/>
        <v>44574</v>
      </c>
      <c r="F171">
        <f t="shared" si="7"/>
        <v>1</v>
      </c>
      <c r="G171" s="4">
        <f t="shared" si="8"/>
        <v>13.466666660970077</v>
      </c>
      <c r="H171">
        <f>IF(COUNTIFS(B$2:B171,B171,E$2:E171,E171)=1,1,0)</f>
        <v>0</v>
      </c>
      <c r="I171">
        <f>IF(COUNTIFS(B$2:B171,B171,F$2:F171,F171)=1,1,0)</f>
        <v>0</v>
      </c>
    </row>
    <row r="172" spans="1:9" x14ac:dyDescent="0.3">
      <c r="A172">
        <v>182</v>
      </c>
      <c r="B172">
        <v>23</v>
      </c>
      <c r="C172" s="2">
        <v>44575.221307870372</v>
      </c>
      <c r="D172" s="2">
        <v>44575.230312500003</v>
      </c>
      <c r="E172" s="3">
        <f t="shared" si="6"/>
        <v>44575</v>
      </c>
      <c r="F172">
        <f t="shared" si="7"/>
        <v>1</v>
      </c>
      <c r="G172" s="4">
        <f t="shared" si="8"/>
        <v>12.966666669817641</v>
      </c>
      <c r="H172">
        <f>IF(COUNTIFS(B$2:B172,B172,E$2:E172,E172)=1,1,0)</f>
        <v>1</v>
      </c>
      <c r="I172">
        <f>IF(COUNTIFS(B$2:B172,B172,F$2:F172,F172)=1,1,0)</f>
        <v>0</v>
      </c>
    </row>
    <row r="173" spans="1:9" x14ac:dyDescent="0.3">
      <c r="A173">
        <v>183</v>
      </c>
      <c r="B173">
        <v>23</v>
      </c>
      <c r="C173" s="2">
        <v>44575.439884259256</v>
      </c>
      <c r="D173" s="2">
        <v>44575.444409722222</v>
      </c>
      <c r="E173" s="3">
        <f t="shared" si="6"/>
        <v>44575</v>
      </c>
      <c r="F173">
        <f t="shared" si="7"/>
        <v>1</v>
      </c>
      <c r="G173" s="4">
        <f t="shared" si="8"/>
        <v>6.5166666707955301</v>
      </c>
      <c r="H173">
        <f>IF(COUNTIFS(B$2:B173,B173,E$2:E173,E173)=1,1,0)</f>
        <v>0</v>
      </c>
      <c r="I173">
        <f>IF(COUNTIFS(B$2:B173,B173,F$2:F173,F173)=1,1,0)</f>
        <v>0</v>
      </c>
    </row>
    <row r="174" spans="1:9" x14ac:dyDescent="0.3">
      <c r="A174">
        <v>184</v>
      </c>
      <c r="B174">
        <v>23</v>
      </c>
      <c r="C174" s="2">
        <v>44575.589884259258</v>
      </c>
      <c r="D174" s="2">
        <v>44575.59516203704</v>
      </c>
      <c r="E174" s="3">
        <f t="shared" si="6"/>
        <v>44575</v>
      </c>
      <c r="F174">
        <f t="shared" si="7"/>
        <v>1</v>
      </c>
      <c r="G174" s="4">
        <f t="shared" si="8"/>
        <v>7.6000000059138983</v>
      </c>
      <c r="H174">
        <f>IF(COUNTIFS(B$2:B174,B174,E$2:E174,E174)=1,1,0)</f>
        <v>0</v>
      </c>
      <c r="I174">
        <f>IF(COUNTIFS(B$2:B174,B174,F$2:F174,F174)=1,1,0)</f>
        <v>0</v>
      </c>
    </row>
    <row r="175" spans="1:9" x14ac:dyDescent="0.3">
      <c r="A175">
        <v>185</v>
      </c>
      <c r="B175">
        <v>23</v>
      </c>
      <c r="C175" s="2">
        <v>44575.644155092596</v>
      </c>
      <c r="D175" s="2">
        <v>44575.648622685185</v>
      </c>
      <c r="E175" s="3">
        <f t="shared" si="6"/>
        <v>44575</v>
      </c>
      <c r="F175">
        <f t="shared" si="7"/>
        <v>1</v>
      </c>
      <c r="G175" s="4">
        <f t="shared" si="8"/>
        <v>6.4333333284594119</v>
      </c>
      <c r="H175">
        <f>IF(COUNTIFS(B$2:B175,B175,E$2:E175,E175)=1,1,0)</f>
        <v>0</v>
      </c>
      <c r="I175">
        <f>IF(COUNTIFS(B$2:B175,B175,F$2:F175,F175)=1,1,0)</f>
        <v>0</v>
      </c>
    </row>
    <row r="176" spans="1:9" x14ac:dyDescent="0.3">
      <c r="A176">
        <v>186</v>
      </c>
      <c r="B176">
        <v>24</v>
      </c>
      <c r="C176" s="2">
        <v>44687.188692129632</v>
      </c>
      <c r="D176" s="2">
        <v>44687.198483796295</v>
      </c>
      <c r="E176" s="3">
        <f t="shared" si="6"/>
        <v>44687</v>
      </c>
      <c r="F176">
        <f t="shared" si="7"/>
        <v>5</v>
      </c>
      <c r="G176" s="4">
        <f t="shared" si="8"/>
        <v>14.09999999566935</v>
      </c>
      <c r="H176">
        <f>IF(COUNTIFS(B$2:B176,B176,E$2:E176,E176)=1,1,0)</f>
        <v>1</v>
      </c>
      <c r="I176">
        <f>IF(COUNTIFS(B$2:B176,B176,F$2:F176,F176)=1,1,0)</f>
        <v>1</v>
      </c>
    </row>
    <row r="177" spans="1:9" x14ac:dyDescent="0.3">
      <c r="A177">
        <v>187</v>
      </c>
      <c r="B177">
        <v>24</v>
      </c>
      <c r="C177" s="2">
        <v>44687.309548611112</v>
      </c>
      <c r="D177" s="2">
        <v>44687.316122685188</v>
      </c>
      <c r="E177" s="3">
        <f t="shared" si="6"/>
        <v>44687</v>
      </c>
      <c r="F177">
        <f t="shared" si="7"/>
        <v>5</v>
      </c>
      <c r="G177" s="4">
        <f t="shared" si="8"/>
        <v>9.4666666688863188</v>
      </c>
      <c r="H177">
        <f>IF(COUNTIFS(B$2:B177,B177,E$2:E177,E177)=1,1,0)</f>
        <v>0</v>
      </c>
      <c r="I177">
        <f>IF(COUNTIFS(B$2:B177,B177,F$2:F177,F177)=1,1,0)</f>
        <v>0</v>
      </c>
    </row>
    <row r="178" spans="1:9" x14ac:dyDescent="0.3">
      <c r="A178">
        <v>188</v>
      </c>
      <c r="B178">
        <v>25</v>
      </c>
      <c r="C178" s="2">
        <v>44681.842314814814</v>
      </c>
      <c r="D178" s="2">
        <v>44681.847233796296</v>
      </c>
      <c r="E178" s="3">
        <f t="shared" si="6"/>
        <v>44681</v>
      </c>
      <c r="F178">
        <f t="shared" si="7"/>
        <v>4</v>
      </c>
      <c r="G178" s="4">
        <f t="shared" si="8"/>
        <v>7.0833333337213844</v>
      </c>
      <c r="H178">
        <f>IF(COUNTIFS(B$2:B178,B178,E$2:E178,E178)=1,1,0)</f>
        <v>1</v>
      </c>
      <c r="I178">
        <f>IF(COUNTIFS(B$2:B178,B178,F$2:F178,F178)=1,1,0)</f>
        <v>1</v>
      </c>
    </row>
    <row r="179" spans="1:9" x14ac:dyDescent="0.3">
      <c r="A179">
        <v>189</v>
      </c>
      <c r="B179">
        <v>25</v>
      </c>
      <c r="C179" s="2">
        <v>44682.122847222221</v>
      </c>
      <c r="D179" s="2">
        <v>44682.126296296294</v>
      </c>
      <c r="E179" s="3">
        <f t="shared" si="6"/>
        <v>44682</v>
      </c>
      <c r="F179">
        <f t="shared" si="7"/>
        <v>5</v>
      </c>
      <c r="G179" s="4">
        <f t="shared" si="8"/>
        <v>4.9666666646953672</v>
      </c>
      <c r="H179">
        <f>IF(COUNTIFS(B$2:B179,B179,E$2:E179,E179)=1,1,0)</f>
        <v>1</v>
      </c>
      <c r="I179">
        <f>IF(COUNTIFS(B$2:B179,B179,F$2:F179,F179)=1,1,0)</f>
        <v>1</v>
      </c>
    </row>
    <row r="180" spans="1:9" x14ac:dyDescent="0.3">
      <c r="A180">
        <v>190</v>
      </c>
      <c r="B180">
        <v>26</v>
      </c>
      <c r="C180" s="2">
        <v>44804.586099537039</v>
      </c>
      <c r="D180" s="2">
        <v>44804.593101851853</v>
      </c>
      <c r="E180" s="3">
        <f t="shared" si="6"/>
        <v>44804</v>
      </c>
      <c r="F180">
        <f t="shared" si="7"/>
        <v>8</v>
      </c>
      <c r="G180" s="4">
        <f t="shared" si="8"/>
        <v>10.083333333022892</v>
      </c>
      <c r="H180">
        <f>IF(COUNTIFS(B$2:B180,B180,E$2:E180,E180)=1,1,0)</f>
        <v>1</v>
      </c>
      <c r="I180">
        <f>IF(COUNTIFS(B$2:B180,B180,F$2:F180,F180)=1,1,0)</f>
        <v>1</v>
      </c>
    </row>
    <row r="181" spans="1:9" x14ac:dyDescent="0.3">
      <c r="A181">
        <v>191</v>
      </c>
      <c r="B181">
        <v>26</v>
      </c>
      <c r="C181" s="2">
        <v>44804.881168981483</v>
      </c>
      <c r="D181" s="2">
        <v>44804.889467592591</v>
      </c>
      <c r="E181" s="3">
        <f t="shared" si="6"/>
        <v>44804</v>
      </c>
      <c r="F181">
        <f t="shared" si="7"/>
        <v>8</v>
      </c>
      <c r="G181" s="4">
        <f t="shared" si="8"/>
        <v>11.949999995995313</v>
      </c>
      <c r="H181">
        <f>IF(COUNTIFS(B$2:B181,B181,E$2:E181,E181)=1,1,0)</f>
        <v>0</v>
      </c>
      <c r="I181">
        <f>IF(COUNTIFS(B$2:B181,B181,F$2:F181,F181)=1,1,0)</f>
        <v>0</v>
      </c>
    </row>
    <row r="182" spans="1:9" x14ac:dyDescent="0.3">
      <c r="A182">
        <v>192</v>
      </c>
      <c r="B182">
        <v>26</v>
      </c>
      <c r="C182" s="2">
        <v>44805.031736111108</v>
      </c>
      <c r="D182" s="2">
        <v>44805.040995370371</v>
      </c>
      <c r="E182" s="3">
        <f t="shared" si="6"/>
        <v>44805</v>
      </c>
      <c r="F182">
        <f t="shared" si="7"/>
        <v>9</v>
      </c>
      <c r="G182" s="4">
        <f t="shared" si="8"/>
        <v>13.333333338377997</v>
      </c>
      <c r="H182">
        <f>IF(COUNTIFS(B$2:B182,B182,E$2:E182,E182)=1,1,0)</f>
        <v>1</v>
      </c>
      <c r="I182">
        <f>IF(COUNTIFS(B$2:B182,B182,F$2:F182,F182)=1,1,0)</f>
        <v>1</v>
      </c>
    </row>
    <row r="183" spans="1:9" x14ac:dyDescent="0.3">
      <c r="A183">
        <v>193</v>
      </c>
      <c r="B183">
        <v>26</v>
      </c>
      <c r="C183" s="2">
        <v>44805.138622685183</v>
      </c>
      <c r="D183" s="2">
        <v>44805.141284722224</v>
      </c>
      <c r="E183" s="3">
        <f t="shared" si="6"/>
        <v>44805</v>
      </c>
      <c r="F183">
        <f t="shared" si="7"/>
        <v>9</v>
      </c>
      <c r="G183" s="4">
        <f t="shared" si="8"/>
        <v>3.8333333388436586</v>
      </c>
      <c r="H183">
        <f>IF(COUNTIFS(B$2:B183,B183,E$2:E183,E183)=1,1,0)</f>
        <v>0</v>
      </c>
      <c r="I183">
        <f>IF(COUNTIFS(B$2:B183,B183,F$2:F183,F183)=1,1,0)</f>
        <v>0</v>
      </c>
    </row>
    <row r="184" spans="1:9" x14ac:dyDescent="0.3">
      <c r="A184">
        <v>194</v>
      </c>
      <c r="B184">
        <v>26</v>
      </c>
      <c r="C184" s="2">
        <v>44805.332106481481</v>
      </c>
      <c r="D184" s="2">
        <v>44805.337523148148</v>
      </c>
      <c r="E184" s="3">
        <f t="shared" si="6"/>
        <v>44805</v>
      </c>
      <c r="F184">
        <f t="shared" si="7"/>
        <v>9</v>
      </c>
      <c r="G184" s="4">
        <f t="shared" si="8"/>
        <v>7.8000000002793968</v>
      </c>
      <c r="H184">
        <f>IF(COUNTIFS(B$2:B184,B184,E$2:E184,E184)=1,1,0)</f>
        <v>0</v>
      </c>
      <c r="I184">
        <f>IF(COUNTIFS(B$2:B184,B184,F$2:F184,F184)=1,1,0)</f>
        <v>0</v>
      </c>
    </row>
    <row r="185" spans="1:9" x14ac:dyDescent="0.3">
      <c r="A185">
        <v>195</v>
      </c>
      <c r="B185">
        <v>26</v>
      </c>
      <c r="C185" s="2">
        <v>44805.483518518522</v>
      </c>
      <c r="D185" s="2">
        <v>44805.49046296296</v>
      </c>
      <c r="E185" s="3">
        <f t="shared" si="6"/>
        <v>44805</v>
      </c>
      <c r="F185">
        <f t="shared" si="7"/>
        <v>9</v>
      </c>
      <c r="G185" s="4">
        <f t="shared" si="8"/>
        <v>9.9999999906867743</v>
      </c>
      <c r="H185">
        <f>IF(COUNTIFS(B$2:B185,B185,E$2:E185,E185)=1,1,0)</f>
        <v>0</v>
      </c>
      <c r="I185">
        <f>IF(COUNTIFS(B$2:B185,B185,F$2:F185,F185)=1,1,0)</f>
        <v>0</v>
      </c>
    </row>
    <row r="186" spans="1:9" x14ac:dyDescent="0.3">
      <c r="A186">
        <v>196</v>
      </c>
      <c r="B186">
        <v>26</v>
      </c>
      <c r="C186" s="2">
        <v>44805.798784722225</v>
      </c>
      <c r="D186" s="2">
        <v>44805.804571759261</v>
      </c>
      <c r="E186" s="3">
        <f t="shared" si="6"/>
        <v>44805</v>
      </c>
      <c r="F186">
        <f t="shared" si="7"/>
        <v>9</v>
      </c>
      <c r="G186" s="4">
        <f t="shared" si="8"/>
        <v>8.3333333325572312</v>
      </c>
      <c r="H186">
        <f>IF(COUNTIFS(B$2:B186,B186,E$2:E186,E186)=1,1,0)</f>
        <v>0</v>
      </c>
      <c r="I186">
        <f>IF(COUNTIFS(B$2:B186,B186,F$2:F186,F186)=1,1,0)</f>
        <v>0</v>
      </c>
    </row>
    <row r="187" spans="1:9" x14ac:dyDescent="0.3">
      <c r="A187">
        <v>197</v>
      </c>
      <c r="B187">
        <v>26</v>
      </c>
      <c r="C187" s="2">
        <v>44805.950092592589</v>
      </c>
      <c r="D187" s="2">
        <v>44805.96025462963</v>
      </c>
      <c r="E187" s="3">
        <f t="shared" si="6"/>
        <v>44805</v>
      </c>
      <c r="F187">
        <f t="shared" si="7"/>
        <v>9</v>
      </c>
      <c r="G187" s="4">
        <f t="shared" si="8"/>
        <v>14.633333338424563</v>
      </c>
      <c r="H187">
        <f>IF(COUNTIFS(B$2:B187,B187,E$2:E187,E187)=1,1,0)</f>
        <v>0</v>
      </c>
      <c r="I187">
        <f>IF(COUNTIFS(B$2:B187,B187,F$2:F187,F187)=1,1,0)</f>
        <v>0</v>
      </c>
    </row>
    <row r="188" spans="1:9" x14ac:dyDescent="0.3">
      <c r="A188">
        <v>198</v>
      </c>
      <c r="B188">
        <v>26</v>
      </c>
      <c r="C188" s="2">
        <v>44806.265879629631</v>
      </c>
      <c r="D188" s="2">
        <v>44806.270277777781</v>
      </c>
      <c r="E188" s="3">
        <f t="shared" si="6"/>
        <v>44806</v>
      </c>
      <c r="F188">
        <f t="shared" si="7"/>
        <v>9</v>
      </c>
      <c r="G188" s="4">
        <f t="shared" si="8"/>
        <v>6.3333333365153521</v>
      </c>
      <c r="H188">
        <f>IF(COUNTIFS(B$2:B188,B188,E$2:E188,E188)=1,1,0)</f>
        <v>1</v>
      </c>
      <c r="I188">
        <f>IF(COUNTIFS(B$2:B188,B188,F$2:F188,F188)=1,1,0)</f>
        <v>0</v>
      </c>
    </row>
    <row r="189" spans="1:9" x14ac:dyDescent="0.3">
      <c r="A189">
        <v>199</v>
      </c>
      <c r="B189">
        <v>26</v>
      </c>
      <c r="C189" s="2">
        <v>44806.531087962961</v>
      </c>
      <c r="D189" s="2">
        <v>44806.538182870368</v>
      </c>
      <c r="E189" s="3">
        <f t="shared" si="6"/>
        <v>44806</v>
      </c>
      <c r="F189">
        <f t="shared" si="7"/>
        <v>9</v>
      </c>
      <c r="G189" s="4">
        <f t="shared" si="8"/>
        <v>10.216666666092351</v>
      </c>
      <c r="H189">
        <f>IF(COUNTIFS(B$2:B189,B189,E$2:E189,E189)=1,1,0)</f>
        <v>0</v>
      </c>
      <c r="I189">
        <f>IF(COUNTIFS(B$2:B189,B189,F$2:F189,F189)=1,1,0)</f>
        <v>0</v>
      </c>
    </row>
    <row r="190" spans="1:9" x14ac:dyDescent="0.3">
      <c r="A190">
        <v>200</v>
      </c>
      <c r="B190">
        <v>26</v>
      </c>
      <c r="C190" s="2">
        <v>44806.651678240742</v>
      </c>
      <c r="D190" s="2">
        <v>44806.654629629629</v>
      </c>
      <c r="E190" s="3">
        <f t="shared" si="6"/>
        <v>44806</v>
      </c>
      <c r="F190">
        <f t="shared" si="7"/>
        <v>9</v>
      </c>
      <c r="G190" s="4">
        <f t="shared" si="8"/>
        <v>4.2499999981373549</v>
      </c>
      <c r="H190">
        <f>IF(COUNTIFS(B$2:B190,B190,E$2:E190,E190)=1,1,0)</f>
        <v>0</v>
      </c>
      <c r="I190">
        <f>IF(COUNTIFS(B$2:B190,B190,F$2:F190,F190)=1,1,0)</f>
        <v>0</v>
      </c>
    </row>
    <row r="191" spans="1:9" x14ac:dyDescent="0.3">
      <c r="A191">
        <v>201</v>
      </c>
      <c r="B191">
        <v>26</v>
      </c>
      <c r="C191" s="2">
        <v>44806.934016203704</v>
      </c>
      <c r="D191" s="2">
        <v>44806.940370370372</v>
      </c>
      <c r="E191" s="3">
        <f t="shared" si="6"/>
        <v>44806</v>
      </c>
      <c r="F191">
        <f t="shared" si="7"/>
        <v>9</v>
      </c>
      <c r="G191" s="4">
        <f t="shared" si="8"/>
        <v>9.1500000015366822</v>
      </c>
      <c r="H191">
        <f>IF(COUNTIFS(B$2:B191,B191,E$2:E191,E191)=1,1,0)</f>
        <v>0</v>
      </c>
      <c r="I191">
        <f>IF(COUNTIFS(B$2:B191,B191,F$2:F191,F191)=1,1,0)</f>
        <v>0</v>
      </c>
    </row>
    <row r="192" spans="1:9" x14ac:dyDescent="0.3">
      <c r="A192">
        <v>202</v>
      </c>
      <c r="B192">
        <v>27</v>
      </c>
      <c r="C192" s="2">
        <v>44804.323773148149</v>
      </c>
      <c r="D192" s="2">
        <v>44804.327789351853</v>
      </c>
      <c r="E192" s="3">
        <f t="shared" si="6"/>
        <v>44804</v>
      </c>
      <c r="F192">
        <f t="shared" si="7"/>
        <v>8</v>
      </c>
      <c r="G192" s="4">
        <f t="shared" si="8"/>
        <v>5.7833333336748183</v>
      </c>
      <c r="H192">
        <f>IF(COUNTIFS(B$2:B192,B192,E$2:E192,E192)=1,1,0)</f>
        <v>1</v>
      </c>
      <c r="I192">
        <f>IF(COUNTIFS(B$2:B192,B192,F$2:F192,F192)=1,1,0)</f>
        <v>1</v>
      </c>
    </row>
    <row r="193" spans="1:9" x14ac:dyDescent="0.3">
      <c r="A193">
        <v>203</v>
      </c>
      <c r="B193">
        <v>27</v>
      </c>
      <c r="C193" s="2">
        <v>44804.562071759261</v>
      </c>
      <c r="D193" s="2">
        <v>44804.566979166666</v>
      </c>
      <c r="E193" s="3">
        <f t="shared" si="6"/>
        <v>44804</v>
      </c>
      <c r="F193">
        <f t="shared" si="7"/>
        <v>8</v>
      </c>
      <c r="G193" s="4">
        <f t="shared" si="8"/>
        <v>7.066666663158685</v>
      </c>
      <c r="H193">
        <f>IF(COUNTIFS(B$2:B193,B193,E$2:E193,E193)=1,1,0)</f>
        <v>0</v>
      </c>
      <c r="I193">
        <f>IF(COUNTIFS(B$2:B193,B193,F$2:F193,F193)=1,1,0)</f>
        <v>0</v>
      </c>
    </row>
    <row r="194" spans="1:9" x14ac:dyDescent="0.3">
      <c r="A194">
        <v>204</v>
      </c>
      <c r="B194">
        <v>27</v>
      </c>
      <c r="C194" s="2">
        <v>44804.641655092593</v>
      </c>
      <c r="D194" s="2">
        <v>44804.645671296297</v>
      </c>
      <c r="E194" s="3">
        <f t="shared" ref="E194:E257" si="9">INT(C194)</f>
        <v>44804</v>
      </c>
      <c r="F194">
        <f t="shared" ref="F194:F257" si="10">MONTH(C194)</f>
        <v>8</v>
      </c>
      <c r="G194" s="4">
        <f t="shared" ref="G194:G257" si="11">(D194-C194)*1440</f>
        <v>5.7833333336748183</v>
      </c>
      <c r="H194">
        <f>IF(COUNTIFS(B$2:B194,B194,E$2:E194,E194)=1,1,0)</f>
        <v>0</v>
      </c>
      <c r="I194">
        <f>IF(COUNTIFS(B$2:B194,B194,F$2:F194,F194)=1,1,0)</f>
        <v>0</v>
      </c>
    </row>
    <row r="195" spans="1:9" x14ac:dyDescent="0.3">
      <c r="A195">
        <v>205</v>
      </c>
      <c r="B195">
        <v>27</v>
      </c>
      <c r="C195" s="2">
        <v>44804.686261574076</v>
      </c>
      <c r="D195" s="2">
        <v>44804.691469907404</v>
      </c>
      <c r="E195" s="3">
        <f t="shared" si="9"/>
        <v>44804</v>
      </c>
      <c r="F195">
        <f t="shared" si="10"/>
        <v>8</v>
      </c>
      <c r="G195" s="4">
        <f t="shared" si="11"/>
        <v>7.4999999930150807</v>
      </c>
      <c r="H195">
        <f>IF(COUNTIFS(B$2:B195,B195,E$2:E195,E195)=1,1,0)</f>
        <v>0</v>
      </c>
      <c r="I195">
        <f>IF(COUNTIFS(B$2:B195,B195,F$2:F195,F195)=1,1,0)</f>
        <v>0</v>
      </c>
    </row>
    <row r="196" spans="1:9" x14ac:dyDescent="0.3">
      <c r="A196">
        <v>206</v>
      </c>
      <c r="B196">
        <v>27</v>
      </c>
      <c r="C196" s="2">
        <v>44804.81046296296</v>
      </c>
      <c r="D196" s="2">
        <v>44804.818668981483</v>
      </c>
      <c r="E196" s="3">
        <f t="shared" si="9"/>
        <v>44804</v>
      </c>
      <c r="F196">
        <f t="shared" si="10"/>
        <v>8</v>
      </c>
      <c r="G196" s="4">
        <f t="shared" si="11"/>
        <v>11.816666673403233</v>
      </c>
      <c r="H196">
        <f>IF(COUNTIFS(B$2:B196,B196,E$2:E196,E196)=1,1,0)</f>
        <v>0</v>
      </c>
      <c r="I196">
        <f>IF(COUNTIFS(B$2:B196,B196,F$2:F196,F196)=1,1,0)</f>
        <v>0</v>
      </c>
    </row>
    <row r="197" spans="1:9" x14ac:dyDescent="0.3">
      <c r="A197">
        <v>207</v>
      </c>
      <c r="B197">
        <v>27</v>
      </c>
      <c r="C197" s="2">
        <v>44805.149629629632</v>
      </c>
      <c r="D197" s="2">
        <v>44805.15425925926</v>
      </c>
      <c r="E197" s="3">
        <f t="shared" si="9"/>
        <v>44805</v>
      </c>
      <c r="F197">
        <f t="shared" si="10"/>
        <v>9</v>
      </c>
      <c r="G197" s="4">
        <f t="shared" si="11"/>
        <v>6.6666666639503092</v>
      </c>
      <c r="H197">
        <f>IF(COUNTIFS(B$2:B197,B197,E$2:E197,E197)=1,1,0)</f>
        <v>1</v>
      </c>
      <c r="I197">
        <f>IF(COUNTIFS(B$2:B197,B197,F$2:F197,F197)=1,1,0)</f>
        <v>1</v>
      </c>
    </row>
    <row r="198" spans="1:9" x14ac:dyDescent="0.3">
      <c r="A198">
        <v>208</v>
      </c>
      <c r="B198">
        <v>27</v>
      </c>
      <c r="C198" s="2">
        <v>44805.281446759262</v>
      </c>
      <c r="D198" s="2">
        <v>44805.286354166667</v>
      </c>
      <c r="E198" s="3">
        <f t="shared" si="9"/>
        <v>44805</v>
      </c>
      <c r="F198">
        <f t="shared" si="10"/>
        <v>9</v>
      </c>
      <c r="G198" s="4">
        <f t="shared" si="11"/>
        <v>7.066666663158685</v>
      </c>
      <c r="H198">
        <f>IF(COUNTIFS(B$2:B198,B198,E$2:E198,E198)=1,1,0)</f>
        <v>0</v>
      </c>
      <c r="I198">
        <f>IF(COUNTIFS(B$2:B198,B198,F$2:F198,F198)=1,1,0)</f>
        <v>0</v>
      </c>
    </row>
    <row r="199" spans="1:9" x14ac:dyDescent="0.3">
      <c r="A199">
        <v>209</v>
      </c>
      <c r="B199">
        <v>27</v>
      </c>
      <c r="C199" s="2">
        <v>44805.428599537037</v>
      </c>
      <c r="D199" s="2">
        <v>44805.438715277778</v>
      </c>
      <c r="E199" s="3">
        <f t="shared" si="9"/>
        <v>44805</v>
      </c>
      <c r="F199">
        <f t="shared" si="10"/>
        <v>9</v>
      </c>
      <c r="G199" s="4">
        <f t="shared" si="11"/>
        <v>14.566666666651145</v>
      </c>
      <c r="H199">
        <f>IF(COUNTIFS(B$2:B199,B199,E$2:E199,E199)=1,1,0)</f>
        <v>0</v>
      </c>
      <c r="I199">
        <f>IF(COUNTIFS(B$2:B199,B199,F$2:F199,F199)=1,1,0)</f>
        <v>0</v>
      </c>
    </row>
    <row r="200" spans="1:9" x14ac:dyDescent="0.3">
      <c r="A200">
        <v>210</v>
      </c>
      <c r="B200">
        <v>27</v>
      </c>
      <c r="C200" s="2">
        <v>44805.594930555555</v>
      </c>
      <c r="D200" s="2">
        <v>44805.598182870373</v>
      </c>
      <c r="E200" s="3">
        <f t="shared" si="9"/>
        <v>44805</v>
      </c>
      <c r="F200">
        <f t="shared" si="10"/>
        <v>9</v>
      </c>
      <c r="G200" s="4">
        <f t="shared" si="11"/>
        <v>4.6833333384711295</v>
      </c>
      <c r="H200">
        <f>IF(COUNTIFS(B$2:B200,B200,E$2:E200,E200)=1,1,0)</f>
        <v>0</v>
      </c>
      <c r="I200">
        <f>IF(COUNTIFS(B$2:B200,B200,F$2:F200,F200)=1,1,0)</f>
        <v>0</v>
      </c>
    </row>
    <row r="201" spans="1:9" x14ac:dyDescent="0.3">
      <c r="A201">
        <v>211</v>
      </c>
      <c r="B201">
        <v>27</v>
      </c>
      <c r="C201" s="2">
        <v>44805.820208333331</v>
      </c>
      <c r="D201" s="2">
        <v>44805.825185185182</v>
      </c>
      <c r="E201" s="3">
        <f t="shared" si="9"/>
        <v>44805</v>
      </c>
      <c r="F201">
        <f t="shared" si="10"/>
        <v>9</v>
      </c>
      <c r="G201" s="4">
        <f t="shared" si="11"/>
        <v>7.1666666655801237</v>
      </c>
      <c r="H201">
        <f>IF(COUNTIFS(B$2:B201,B201,E$2:E201,E201)=1,1,0)</f>
        <v>0</v>
      </c>
      <c r="I201">
        <f>IF(COUNTIFS(B$2:B201,B201,F$2:F201,F201)=1,1,0)</f>
        <v>0</v>
      </c>
    </row>
    <row r="202" spans="1:9" x14ac:dyDescent="0.3">
      <c r="A202">
        <v>212</v>
      </c>
      <c r="B202">
        <v>27</v>
      </c>
      <c r="C202" s="2">
        <v>44806.095914351848</v>
      </c>
      <c r="D202" s="2">
        <v>44806.105208333334</v>
      </c>
      <c r="E202" s="3">
        <f t="shared" si="9"/>
        <v>44806</v>
      </c>
      <c r="F202">
        <f t="shared" si="10"/>
        <v>9</v>
      </c>
      <c r="G202" s="4">
        <f t="shared" si="11"/>
        <v>13.383333339588717</v>
      </c>
      <c r="H202">
        <f>IF(COUNTIFS(B$2:B202,B202,E$2:E202,E202)=1,1,0)</f>
        <v>1</v>
      </c>
      <c r="I202">
        <f>IF(COUNTIFS(B$2:B202,B202,F$2:F202,F202)=1,1,0)</f>
        <v>0</v>
      </c>
    </row>
    <row r="203" spans="1:9" x14ac:dyDescent="0.3">
      <c r="A203">
        <v>213</v>
      </c>
      <c r="B203">
        <v>27</v>
      </c>
      <c r="C203" s="2">
        <v>44806.442766203705</v>
      </c>
      <c r="D203" s="2">
        <v>44806.449282407404</v>
      </c>
      <c r="E203" s="3">
        <f t="shared" si="9"/>
        <v>44806</v>
      </c>
      <c r="F203">
        <f t="shared" si="10"/>
        <v>9</v>
      </c>
      <c r="G203" s="4">
        <f t="shared" si="11"/>
        <v>9.3833333265502006</v>
      </c>
      <c r="H203">
        <f>IF(COUNTIFS(B$2:B203,B203,E$2:E203,E203)=1,1,0)</f>
        <v>0</v>
      </c>
      <c r="I203">
        <f>IF(COUNTIFS(B$2:B203,B203,F$2:F203,F203)=1,1,0)</f>
        <v>0</v>
      </c>
    </row>
    <row r="204" spans="1:9" x14ac:dyDescent="0.3">
      <c r="A204">
        <v>214</v>
      </c>
      <c r="B204">
        <v>27</v>
      </c>
      <c r="C204" s="2">
        <v>44806.553217592591</v>
      </c>
      <c r="D204" s="2">
        <v>44806.563298611109</v>
      </c>
      <c r="E204" s="3">
        <f t="shared" si="9"/>
        <v>44806</v>
      </c>
      <c r="F204">
        <f t="shared" si="10"/>
        <v>9</v>
      </c>
      <c r="G204" s="4">
        <f t="shared" si="11"/>
        <v>14.516666665440425</v>
      </c>
      <c r="H204">
        <f>IF(COUNTIFS(B$2:B204,B204,E$2:E204,E204)=1,1,0)</f>
        <v>0</v>
      </c>
      <c r="I204">
        <f>IF(COUNTIFS(B$2:B204,B204,F$2:F204,F204)=1,1,0)</f>
        <v>0</v>
      </c>
    </row>
    <row r="205" spans="1:9" x14ac:dyDescent="0.3">
      <c r="A205">
        <v>215</v>
      </c>
      <c r="B205">
        <v>28</v>
      </c>
      <c r="C205" s="2">
        <v>44613.932534722226</v>
      </c>
      <c r="D205" s="2">
        <v>44613.934201388889</v>
      </c>
      <c r="E205" s="3">
        <f t="shared" si="9"/>
        <v>44613</v>
      </c>
      <c r="F205">
        <f t="shared" si="10"/>
        <v>2</v>
      </c>
      <c r="G205" s="4">
        <f t="shared" si="11"/>
        <v>2.3999999952502549</v>
      </c>
      <c r="H205">
        <f>IF(COUNTIFS(B$2:B205,B205,E$2:E205,E205)=1,1,0)</f>
        <v>1</v>
      </c>
      <c r="I205">
        <f>IF(COUNTIFS(B$2:B205,B205,F$2:F205,F205)=1,1,0)</f>
        <v>1</v>
      </c>
    </row>
    <row r="206" spans="1:9" x14ac:dyDescent="0.3">
      <c r="A206">
        <v>216</v>
      </c>
      <c r="B206">
        <v>29</v>
      </c>
      <c r="C206" s="2">
        <v>44827.721932870372</v>
      </c>
      <c r="D206" s="2">
        <v>44827.727164351854</v>
      </c>
      <c r="E206" s="3">
        <f t="shared" si="9"/>
        <v>44827</v>
      </c>
      <c r="F206">
        <f t="shared" si="10"/>
        <v>9</v>
      </c>
      <c r="G206" s="4">
        <f t="shared" si="11"/>
        <v>7.5333333341404796</v>
      </c>
      <c r="H206">
        <f>IF(COUNTIFS(B$2:B206,B206,E$2:E206,E206)=1,1,0)</f>
        <v>1</v>
      </c>
      <c r="I206">
        <f>IF(COUNTIFS(B$2:B206,B206,F$2:F206,F206)=1,1,0)</f>
        <v>1</v>
      </c>
    </row>
    <row r="207" spans="1:9" x14ac:dyDescent="0.3">
      <c r="A207">
        <v>217</v>
      </c>
      <c r="B207">
        <v>29</v>
      </c>
      <c r="C207" s="2">
        <v>44827.931134259263</v>
      </c>
      <c r="D207" s="2">
        <v>44827.934803240743</v>
      </c>
      <c r="E207" s="3">
        <f t="shared" si="9"/>
        <v>44827</v>
      </c>
      <c r="F207">
        <f t="shared" si="10"/>
        <v>9</v>
      </c>
      <c r="G207" s="4">
        <f t="shared" si="11"/>
        <v>5.2833333320450038</v>
      </c>
      <c r="H207">
        <f>IF(COUNTIFS(B$2:B207,B207,E$2:E207,E207)=1,1,0)</f>
        <v>0</v>
      </c>
      <c r="I207">
        <f>IF(COUNTIFS(B$2:B207,B207,F$2:F207,F207)=1,1,0)</f>
        <v>0</v>
      </c>
    </row>
    <row r="208" spans="1:9" x14ac:dyDescent="0.3">
      <c r="A208">
        <v>218</v>
      </c>
      <c r="B208">
        <v>29</v>
      </c>
      <c r="C208" s="2">
        <v>44828.257384259261</v>
      </c>
      <c r="D208" s="2">
        <v>44828.259641203702</v>
      </c>
      <c r="E208" s="3">
        <f t="shared" si="9"/>
        <v>44828</v>
      </c>
      <c r="F208">
        <f t="shared" si="10"/>
        <v>9</v>
      </c>
      <c r="G208" s="4">
        <f t="shared" si="11"/>
        <v>3.2499999948777258</v>
      </c>
      <c r="H208">
        <f>IF(COUNTIFS(B$2:B208,B208,E$2:E208,E208)=1,1,0)</f>
        <v>1</v>
      </c>
      <c r="I208">
        <f>IF(COUNTIFS(B$2:B208,B208,F$2:F208,F208)=1,1,0)</f>
        <v>0</v>
      </c>
    </row>
    <row r="209" spans="1:9" x14ac:dyDescent="0.3">
      <c r="A209">
        <v>219</v>
      </c>
      <c r="B209">
        <v>29</v>
      </c>
      <c r="C209" s="2">
        <v>44828.523287037038</v>
      </c>
      <c r="D209" s="2">
        <v>44828.530428240738</v>
      </c>
      <c r="E209" s="3">
        <f t="shared" si="9"/>
        <v>44828</v>
      </c>
      <c r="F209">
        <f t="shared" si="10"/>
        <v>9</v>
      </c>
      <c r="G209" s="4">
        <f t="shared" si="11"/>
        <v>10.283333327388391</v>
      </c>
      <c r="H209">
        <f>IF(COUNTIFS(B$2:B209,B209,E$2:E209,E209)=1,1,0)</f>
        <v>0</v>
      </c>
      <c r="I209">
        <f>IF(COUNTIFS(B$2:B209,B209,F$2:F209,F209)=1,1,0)</f>
        <v>0</v>
      </c>
    </row>
    <row r="210" spans="1:9" x14ac:dyDescent="0.3">
      <c r="A210">
        <v>220</v>
      </c>
      <c r="B210">
        <v>29</v>
      </c>
      <c r="C210" s="2">
        <v>44828.813750000001</v>
      </c>
      <c r="D210" s="2">
        <v>44828.819652777776</v>
      </c>
      <c r="E210" s="3">
        <f t="shared" si="9"/>
        <v>44828</v>
      </c>
      <c r="F210">
        <f t="shared" si="10"/>
        <v>9</v>
      </c>
      <c r="G210" s="4">
        <f t="shared" si="11"/>
        <v>8.4999999962747097</v>
      </c>
      <c r="H210">
        <f>IF(COUNTIFS(B$2:B210,B210,E$2:E210,E210)=1,1,0)</f>
        <v>0</v>
      </c>
      <c r="I210">
        <f>IF(COUNTIFS(B$2:B210,B210,F$2:F210,F210)=1,1,0)</f>
        <v>0</v>
      </c>
    </row>
    <row r="211" spans="1:9" x14ac:dyDescent="0.3">
      <c r="A211">
        <v>221</v>
      </c>
      <c r="B211">
        <v>29</v>
      </c>
      <c r="C211" s="2">
        <v>44829.116446759261</v>
      </c>
      <c r="D211" s="2">
        <v>44829.124490740738</v>
      </c>
      <c r="E211" s="3">
        <f t="shared" si="9"/>
        <v>44829</v>
      </c>
      <c r="F211">
        <f t="shared" si="10"/>
        <v>9</v>
      </c>
      <c r="G211" s="4">
        <f t="shared" si="11"/>
        <v>11.583333327434957</v>
      </c>
      <c r="H211">
        <f>IF(COUNTIFS(B$2:B211,B211,E$2:E211,E211)=1,1,0)</f>
        <v>1</v>
      </c>
      <c r="I211">
        <f>IF(COUNTIFS(B$2:B211,B211,F$2:F211,F211)=1,1,0)</f>
        <v>0</v>
      </c>
    </row>
    <row r="212" spans="1:9" x14ac:dyDescent="0.3">
      <c r="A212">
        <v>222</v>
      </c>
      <c r="B212">
        <v>29</v>
      </c>
      <c r="C212" s="2">
        <v>44829.285914351851</v>
      </c>
      <c r="D212" s="2">
        <v>44829.29346064815</v>
      </c>
      <c r="E212" s="3">
        <f t="shared" si="9"/>
        <v>44829</v>
      </c>
      <c r="F212">
        <f t="shared" si="10"/>
        <v>9</v>
      </c>
      <c r="G212" s="4">
        <f t="shared" si="11"/>
        <v>10.866666671354324</v>
      </c>
      <c r="H212">
        <f>IF(COUNTIFS(B$2:B212,B212,E$2:E212,E212)=1,1,0)</f>
        <v>0</v>
      </c>
      <c r="I212">
        <f>IF(COUNTIFS(B$2:B212,B212,F$2:F212,F212)=1,1,0)</f>
        <v>0</v>
      </c>
    </row>
    <row r="213" spans="1:9" x14ac:dyDescent="0.3">
      <c r="A213">
        <v>223</v>
      </c>
      <c r="B213">
        <v>29</v>
      </c>
      <c r="C213" s="2">
        <v>44829.522581018522</v>
      </c>
      <c r="D213" s="2">
        <v>44829.524409722224</v>
      </c>
      <c r="E213" s="3">
        <f t="shared" si="9"/>
        <v>44829</v>
      </c>
      <c r="F213">
        <f t="shared" si="10"/>
        <v>9</v>
      </c>
      <c r="G213" s="4">
        <f t="shared" si="11"/>
        <v>2.6333333307411522</v>
      </c>
      <c r="H213">
        <f>IF(COUNTIFS(B$2:B213,B213,E$2:E213,E213)=1,1,0)</f>
        <v>0</v>
      </c>
      <c r="I213">
        <f>IF(COUNTIFS(B$2:B213,B213,F$2:F213,F213)=1,1,0)</f>
        <v>0</v>
      </c>
    </row>
    <row r="214" spans="1:9" x14ac:dyDescent="0.3">
      <c r="A214">
        <v>224</v>
      </c>
      <c r="B214">
        <v>29</v>
      </c>
      <c r="C214" s="2">
        <v>44829.698750000003</v>
      </c>
      <c r="D214" s="2">
        <v>44829.70815972222</v>
      </c>
      <c r="E214" s="3">
        <f t="shared" si="9"/>
        <v>44829</v>
      </c>
      <c r="F214">
        <f t="shared" si="10"/>
        <v>9</v>
      </c>
      <c r="G214" s="4">
        <f t="shared" si="11"/>
        <v>13.549999992828816</v>
      </c>
      <c r="H214">
        <f>IF(COUNTIFS(B$2:B214,B214,E$2:E214,E214)=1,1,0)</f>
        <v>0</v>
      </c>
      <c r="I214">
        <f>IF(COUNTIFS(B$2:B214,B214,F$2:F214,F214)=1,1,0)</f>
        <v>0</v>
      </c>
    </row>
    <row r="215" spans="1:9" x14ac:dyDescent="0.3">
      <c r="A215">
        <v>225</v>
      </c>
      <c r="B215">
        <v>29</v>
      </c>
      <c r="C215" s="2">
        <v>44829.926388888889</v>
      </c>
      <c r="D215" s="2">
        <v>44829.936041666668</v>
      </c>
      <c r="E215" s="3">
        <f t="shared" si="9"/>
        <v>44829</v>
      </c>
      <c r="F215">
        <f t="shared" si="10"/>
        <v>9</v>
      </c>
      <c r="G215" s="4">
        <f t="shared" si="11"/>
        <v>13.900000001303852</v>
      </c>
      <c r="H215">
        <f>IF(COUNTIFS(B$2:B215,B215,E$2:E215,E215)=1,1,0)</f>
        <v>0</v>
      </c>
      <c r="I215">
        <f>IF(COUNTIFS(B$2:B215,B215,F$2:F215,F215)=1,1,0)</f>
        <v>0</v>
      </c>
    </row>
    <row r="216" spans="1:9" x14ac:dyDescent="0.3">
      <c r="A216">
        <v>226</v>
      </c>
      <c r="B216">
        <v>29</v>
      </c>
      <c r="C216" s="2">
        <v>44830.198831018519</v>
      </c>
      <c r="D216" s="2">
        <v>44830.204918981479</v>
      </c>
      <c r="E216" s="3">
        <f t="shared" si="9"/>
        <v>44830</v>
      </c>
      <c r="F216">
        <f t="shared" si="10"/>
        <v>9</v>
      </c>
      <c r="G216" s="4">
        <f t="shared" si="11"/>
        <v>8.7666666624136269</v>
      </c>
      <c r="H216">
        <f>IF(COUNTIFS(B$2:B216,B216,E$2:E216,E216)=1,1,0)</f>
        <v>1</v>
      </c>
      <c r="I216">
        <f>IF(COUNTIFS(B$2:B216,B216,F$2:F216,F216)=1,1,0)</f>
        <v>0</v>
      </c>
    </row>
    <row r="217" spans="1:9" x14ac:dyDescent="0.3">
      <c r="A217">
        <v>227</v>
      </c>
      <c r="B217">
        <v>29</v>
      </c>
      <c r="C217" s="2">
        <v>44830.528240740743</v>
      </c>
      <c r="D217" s="2">
        <v>44830.536180555559</v>
      </c>
      <c r="E217" s="3">
        <f t="shared" si="9"/>
        <v>44830</v>
      </c>
      <c r="F217">
        <f t="shared" si="10"/>
        <v>9</v>
      </c>
      <c r="G217" s="4">
        <f t="shared" si="11"/>
        <v>11.433333334280178</v>
      </c>
      <c r="H217">
        <f>IF(COUNTIFS(B$2:B217,B217,E$2:E217,E217)=1,1,0)</f>
        <v>0</v>
      </c>
      <c r="I217">
        <f>IF(COUNTIFS(B$2:B217,B217,F$2:F217,F217)=1,1,0)</f>
        <v>0</v>
      </c>
    </row>
    <row r="218" spans="1:9" x14ac:dyDescent="0.3">
      <c r="A218">
        <v>228</v>
      </c>
      <c r="B218">
        <v>29</v>
      </c>
      <c r="C218" s="2">
        <v>44830.614282407405</v>
      </c>
      <c r="D218" s="2">
        <v>44830.622488425928</v>
      </c>
      <c r="E218" s="3">
        <f t="shared" si="9"/>
        <v>44830</v>
      </c>
      <c r="F218">
        <f t="shared" si="10"/>
        <v>9</v>
      </c>
      <c r="G218" s="4">
        <f t="shared" si="11"/>
        <v>11.816666673403233</v>
      </c>
      <c r="H218">
        <f>IF(COUNTIFS(B$2:B218,B218,E$2:E218,E218)=1,1,0)</f>
        <v>0</v>
      </c>
      <c r="I218">
        <f>IF(COUNTIFS(B$2:B218,B218,F$2:F218,F218)=1,1,0)</f>
        <v>0</v>
      </c>
    </row>
    <row r="219" spans="1:9" x14ac:dyDescent="0.3">
      <c r="A219">
        <v>229</v>
      </c>
      <c r="B219">
        <v>29</v>
      </c>
      <c r="C219" s="2">
        <v>44830.678252314814</v>
      </c>
      <c r="D219" s="2">
        <v>44830.687337962961</v>
      </c>
      <c r="E219" s="3">
        <f t="shared" si="9"/>
        <v>44830</v>
      </c>
      <c r="F219">
        <f t="shared" si="10"/>
        <v>9</v>
      </c>
      <c r="G219" s="4">
        <f t="shared" si="11"/>
        <v>13.083333332324401</v>
      </c>
      <c r="H219">
        <f>IF(COUNTIFS(B$2:B219,B219,E$2:E219,E219)=1,1,0)</f>
        <v>0</v>
      </c>
      <c r="I219">
        <f>IF(COUNTIFS(B$2:B219,B219,F$2:F219,F219)=1,1,0)</f>
        <v>0</v>
      </c>
    </row>
    <row r="220" spans="1:9" x14ac:dyDescent="0.3">
      <c r="A220">
        <v>230</v>
      </c>
      <c r="B220">
        <v>29</v>
      </c>
      <c r="C220" s="2">
        <v>44830.930451388886</v>
      </c>
      <c r="D220" s="2">
        <v>44830.939212962963</v>
      </c>
      <c r="E220" s="3">
        <f t="shared" si="9"/>
        <v>44830</v>
      </c>
      <c r="F220">
        <f t="shared" si="10"/>
        <v>9</v>
      </c>
      <c r="G220" s="4">
        <f t="shared" si="11"/>
        <v>12.616666671819985</v>
      </c>
      <c r="H220">
        <f>IF(COUNTIFS(B$2:B220,B220,E$2:E220,E220)=1,1,0)</f>
        <v>0</v>
      </c>
      <c r="I220">
        <f>IF(COUNTIFS(B$2:B220,B220,F$2:F220,F220)=1,1,0)</f>
        <v>0</v>
      </c>
    </row>
    <row r="221" spans="1:9" x14ac:dyDescent="0.3">
      <c r="A221">
        <v>231</v>
      </c>
      <c r="B221">
        <v>29</v>
      </c>
      <c r="C221" s="2">
        <v>44831.190960648149</v>
      </c>
      <c r="D221" s="2">
        <v>44831.197708333333</v>
      </c>
      <c r="E221" s="3">
        <f t="shared" si="9"/>
        <v>44831</v>
      </c>
      <c r="F221">
        <f t="shared" si="10"/>
        <v>9</v>
      </c>
      <c r="G221" s="4">
        <f t="shared" si="11"/>
        <v>9.7166666644625366</v>
      </c>
      <c r="H221">
        <f>IF(COUNTIFS(B$2:B221,B221,E$2:E221,E221)=1,1,0)</f>
        <v>1</v>
      </c>
      <c r="I221">
        <f>IF(COUNTIFS(B$2:B221,B221,F$2:F221,F221)=1,1,0)</f>
        <v>0</v>
      </c>
    </row>
    <row r="222" spans="1:9" x14ac:dyDescent="0.3">
      <c r="A222">
        <v>232</v>
      </c>
      <c r="B222">
        <v>29</v>
      </c>
      <c r="C222" s="2">
        <v>44831.381620370368</v>
      </c>
      <c r="D222" s="2">
        <v>44831.391875000001</v>
      </c>
      <c r="E222" s="3">
        <f t="shared" si="9"/>
        <v>44831</v>
      </c>
      <c r="F222">
        <f t="shared" si="10"/>
        <v>9</v>
      </c>
      <c r="G222" s="4">
        <f t="shared" si="11"/>
        <v>14.766666671494022</v>
      </c>
      <c r="H222">
        <f>IF(COUNTIFS(B$2:B222,B222,E$2:E222,E222)=1,1,0)</f>
        <v>0</v>
      </c>
      <c r="I222">
        <f>IF(COUNTIFS(B$2:B222,B222,F$2:F222,F222)=1,1,0)</f>
        <v>0</v>
      </c>
    </row>
    <row r="223" spans="1:9" x14ac:dyDescent="0.3">
      <c r="A223">
        <v>233</v>
      </c>
      <c r="B223">
        <v>29</v>
      </c>
      <c r="C223" s="2">
        <v>44831.658784722225</v>
      </c>
      <c r="D223" s="2">
        <v>44831.663946759261</v>
      </c>
      <c r="E223" s="3">
        <f t="shared" si="9"/>
        <v>44831</v>
      </c>
      <c r="F223">
        <f t="shared" si="10"/>
        <v>9</v>
      </c>
      <c r="G223" s="4">
        <f t="shared" si="11"/>
        <v>7.4333333317190409</v>
      </c>
      <c r="H223">
        <f>IF(COUNTIFS(B$2:B223,B223,E$2:E223,E223)=1,1,0)</f>
        <v>0</v>
      </c>
      <c r="I223">
        <f>IF(COUNTIFS(B$2:B223,B223,F$2:F223,F223)=1,1,0)</f>
        <v>0</v>
      </c>
    </row>
    <row r="224" spans="1:9" x14ac:dyDescent="0.3">
      <c r="A224">
        <v>234</v>
      </c>
      <c r="B224">
        <v>29</v>
      </c>
      <c r="C224" s="2">
        <v>44831.796122685184</v>
      </c>
      <c r="D224" s="2">
        <v>44831.802731481483</v>
      </c>
      <c r="E224" s="3">
        <f t="shared" si="9"/>
        <v>44831</v>
      </c>
      <c r="F224">
        <f t="shared" si="10"/>
        <v>9</v>
      </c>
      <c r="G224" s="4">
        <f t="shared" si="11"/>
        <v>9.5166666700970381</v>
      </c>
      <c r="H224">
        <f>IF(COUNTIFS(B$2:B224,B224,E$2:E224,E224)=1,1,0)</f>
        <v>0</v>
      </c>
      <c r="I224">
        <f>IF(COUNTIFS(B$2:B224,B224,F$2:F224,F224)=1,1,0)</f>
        <v>0</v>
      </c>
    </row>
    <row r="225" spans="1:9" x14ac:dyDescent="0.3">
      <c r="A225">
        <v>235</v>
      </c>
      <c r="B225">
        <v>30</v>
      </c>
      <c r="C225" s="2">
        <v>44622.839618055557</v>
      </c>
      <c r="D225" s="2">
        <v>44622.845682870371</v>
      </c>
      <c r="E225" s="3">
        <f t="shared" si="9"/>
        <v>44622</v>
      </c>
      <c r="F225">
        <f t="shared" si="10"/>
        <v>3</v>
      </c>
      <c r="G225" s="4">
        <f t="shared" si="11"/>
        <v>8.733333331765607</v>
      </c>
      <c r="H225">
        <f>IF(COUNTIFS(B$2:B225,B225,E$2:E225,E225)=1,1,0)</f>
        <v>1</v>
      </c>
      <c r="I225">
        <f>IF(COUNTIFS(B$2:B225,B225,F$2:F225,F225)=1,1,0)</f>
        <v>1</v>
      </c>
    </row>
    <row r="226" spans="1:9" x14ac:dyDescent="0.3">
      <c r="A226">
        <v>236</v>
      </c>
      <c r="B226">
        <v>30</v>
      </c>
      <c r="C226" s="2">
        <v>44622.982928240737</v>
      </c>
      <c r="D226" s="2">
        <v>44622.990567129629</v>
      </c>
      <c r="E226" s="3">
        <f t="shared" si="9"/>
        <v>44622</v>
      </c>
      <c r="F226">
        <f t="shared" si="10"/>
        <v>3</v>
      </c>
      <c r="G226" s="4">
        <f t="shared" si="11"/>
        <v>11.000000004423782</v>
      </c>
      <c r="H226">
        <f>IF(COUNTIFS(B$2:B226,B226,E$2:E226,E226)=1,1,0)</f>
        <v>0</v>
      </c>
      <c r="I226">
        <f>IF(COUNTIFS(B$2:B226,B226,F$2:F226,F226)=1,1,0)</f>
        <v>0</v>
      </c>
    </row>
    <row r="227" spans="1:9" x14ac:dyDescent="0.3">
      <c r="A227">
        <v>237</v>
      </c>
      <c r="B227">
        <v>30</v>
      </c>
      <c r="C227" s="2">
        <v>44623.02685185185</v>
      </c>
      <c r="D227" s="2">
        <v>44623.034467592595</v>
      </c>
      <c r="E227" s="3">
        <f t="shared" si="9"/>
        <v>44623</v>
      </c>
      <c r="F227">
        <f t="shared" si="10"/>
        <v>3</v>
      </c>
      <c r="G227" s="4">
        <f t="shared" si="11"/>
        <v>10.966666673775762</v>
      </c>
      <c r="H227">
        <f>IF(COUNTIFS(B$2:B227,B227,E$2:E227,E227)=1,1,0)</f>
        <v>1</v>
      </c>
      <c r="I227">
        <f>IF(COUNTIFS(B$2:B227,B227,F$2:F227,F227)=1,1,0)</f>
        <v>0</v>
      </c>
    </row>
    <row r="228" spans="1:9" x14ac:dyDescent="0.3">
      <c r="A228">
        <v>238</v>
      </c>
      <c r="B228">
        <v>31</v>
      </c>
      <c r="C228" s="2">
        <v>44758.001238425924</v>
      </c>
      <c r="D228" s="2">
        <v>44758.010138888887</v>
      </c>
      <c r="E228" s="3">
        <f t="shared" si="9"/>
        <v>44758</v>
      </c>
      <c r="F228">
        <f t="shared" si="10"/>
        <v>7</v>
      </c>
      <c r="G228" s="4">
        <f t="shared" si="11"/>
        <v>12.816666666185483</v>
      </c>
      <c r="H228">
        <f>IF(COUNTIFS(B$2:B228,B228,E$2:E228,E228)=1,1,0)</f>
        <v>1</v>
      </c>
      <c r="I228">
        <f>IF(COUNTIFS(B$2:B228,B228,F$2:F228,F228)=1,1,0)</f>
        <v>1</v>
      </c>
    </row>
    <row r="229" spans="1:9" x14ac:dyDescent="0.3">
      <c r="A229">
        <v>239</v>
      </c>
      <c r="B229">
        <v>31</v>
      </c>
      <c r="C229" s="2">
        <v>44758.25167824074</v>
      </c>
      <c r="D229" s="2">
        <v>44758.258148148147</v>
      </c>
      <c r="E229" s="3">
        <f t="shared" si="9"/>
        <v>44758</v>
      </c>
      <c r="F229">
        <f t="shared" si="10"/>
        <v>7</v>
      </c>
      <c r="G229" s="4">
        <f t="shared" si="11"/>
        <v>9.3166666652541608</v>
      </c>
      <c r="H229">
        <f>IF(COUNTIFS(B$2:B229,B229,E$2:E229,E229)=1,1,0)</f>
        <v>0</v>
      </c>
      <c r="I229">
        <f>IF(COUNTIFS(B$2:B229,B229,F$2:F229,F229)=1,1,0)</f>
        <v>0</v>
      </c>
    </row>
    <row r="230" spans="1:9" x14ac:dyDescent="0.3">
      <c r="A230">
        <v>240</v>
      </c>
      <c r="B230">
        <v>31</v>
      </c>
      <c r="C230" s="2">
        <v>44758.570243055554</v>
      </c>
      <c r="D230" s="2">
        <v>44758.577569444446</v>
      </c>
      <c r="E230" s="3">
        <f t="shared" si="9"/>
        <v>44758</v>
      </c>
      <c r="F230">
        <f t="shared" si="10"/>
        <v>7</v>
      </c>
      <c r="G230" s="4">
        <f t="shared" si="11"/>
        <v>10.550000004004687</v>
      </c>
      <c r="H230">
        <f>IF(COUNTIFS(B$2:B230,B230,E$2:E230,E230)=1,1,0)</f>
        <v>0</v>
      </c>
      <c r="I230">
        <f>IF(COUNTIFS(B$2:B230,B230,F$2:F230,F230)=1,1,0)</f>
        <v>0</v>
      </c>
    </row>
    <row r="231" spans="1:9" x14ac:dyDescent="0.3">
      <c r="A231">
        <v>241</v>
      </c>
      <c r="B231">
        <v>31</v>
      </c>
      <c r="C231" s="2">
        <v>44758.839583333334</v>
      </c>
      <c r="D231" s="2">
        <v>44758.842326388891</v>
      </c>
      <c r="E231" s="3">
        <f t="shared" si="9"/>
        <v>44758</v>
      </c>
      <c r="F231">
        <f t="shared" si="10"/>
        <v>7</v>
      </c>
      <c r="G231" s="4">
        <f t="shared" si="11"/>
        <v>3.9500000013504177</v>
      </c>
      <c r="H231">
        <f>IF(COUNTIFS(B$2:B231,B231,E$2:E231,E231)=1,1,0)</f>
        <v>0</v>
      </c>
      <c r="I231">
        <f>IF(COUNTIFS(B$2:B231,B231,F$2:F231,F231)=1,1,0)</f>
        <v>0</v>
      </c>
    </row>
    <row r="232" spans="1:9" x14ac:dyDescent="0.3">
      <c r="A232">
        <v>242</v>
      </c>
      <c r="B232">
        <v>31</v>
      </c>
      <c r="C232" s="2">
        <v>44759.058159722219</v>
      </c>
      <c r="D232" s="2">
        <v>44759.063622685186</v>
      </c>
      <c r="E232" s="3">
        <f t="shared" si="9"/>
        <v>44759</v>
      </c>
      <c r="F232">
        <f t="shared" si="10"/>
        <v>7</v>
      </c>
      <c r="G232" s="4">
        <f t="shared" si="11"/>
        <v>7.8666666720528156</v>
      </c>
      <c r="H232">
        <f>IF(COUNTIFS(B$2:B232,B232,E$2:E232,E232)=1,1,0)</f>
        <v>1</v>
      </c>
      <c r="I232">
        <f>IF(COUNTIFS(B$2:B232,B232,F$2:F232,F232)=1,1,0)</f>
        <v>0</v>
      </c>
    </row>
    <row r="233" spans="1:9" x14ac:dyDescent="0.3">
      <c r="A233">
        <v>243</v>
      </c>
      <c r="B233">
        <v>31</v>
      </c>
      <c r="C233" s="2">
        <v>44759.148009259261</v>
      </c>
      <c r="D233" s="2">
        <v>44759.149537037039</v>
      </c>
      <c r="E233" s="3">
        <f t="shared" si="9"/>
        <v>44759</v>
      </c>
      <c r="F233">
        <f t="shared" si="10"/>
        <v>7</v>
      </c>
      <c r="G233" s="4">
        <f t="shared" si="11"/>
        <v>2.2000000008847564</v>
      </c>
      <c r="H233">
        <f>IF(COUNTIFS(B$2:B233,B233,E$2:E233,E233)=1,1,0)</f>
        <v>0</v>
      </c>
      <c r="I233">
        <f>IF(COUNTIFS(B$2:B233,B233,F$2:F233,F233)=1,1,0)</f>
        <v>0</v>
      </c>
    </row>
    <row r="234" spans="1:9" x14ac:dyDescent="0.3">
      <c r="A234">
        <v>244</v>
      </c>
      <c r="B234">
        <v>31</v>
      </c>
      <c r="C234" s="2">
        <v>44759.319062499999</v>
      </c>
      <c r="D234" s="2">
        <v>44759.327511574076</v>
      </c>
      <c r="E234" s="3">
        <f t="shared" si="9"/>
        <v>44759</v>
      </c>
      <c r="F234">
        <f t="shared" si="10"/>
        <v>7</v>
      </c>
      <c r="G234" s="4">
        <f t="shared" si="11"/>
        <v>12.16666667140089</v>
      </c>
      <c r="H234">
        <f>IF(COUNTIFS(B$2:B234,B234,E$2:E234,E234)=1,1,0)</f>
        <v>0</v>
      </c>
      <c r="I234">
        <f>IF(COUNTIFS(B$2:B234,B234,F$2:F234,F234)=1,1,0)</f>
        <v>0</v>
      </c>
    </row>
    <row r="235" spans="1:9" x14ac:dyDescent="0.3">
      <c r="A235">
        <v>245</v>
      </c>
      <c r="B235">
        <v>31</v>
      </c>
      <c r="C235" s="2">
        <v>44759.568136574075</v>
      </c>
      <c r="D235" s="2">
        <v>44759.572592592594</v>
      </c>
      <c r="E235" s="3">
        <f t="shared" si="9"/>
        <v>44759</v>
      </c>
      <c r="F235">
        <f t="shared" si="10"/>
        <v>7</v>
      </c>
      <c r="G235" s="4">
        <f t="shared" si="11"/>
        <v>6.4166666683740914</v>
      </c>
      <c r="H235">
        <f>IF(COUNTIFS(B$2:B235,B235,E$2:E235,E235)=1,1,0)</f>
        <v>0</v>
      </c>
      <c r="I235">
        <f>IF(COUNTIFS(B$2:B235,B235,F$2:F235,F235)=1,1,0)</f>
        <v>0</v>
      </c>
    </row>
    <row r="236" spans="1:9" x14ac:dyDescent="0.3">
      <c r="A236">
        <v>246</v>
      </c>
      <c r="B236">
        <v>31</v>
      </c>
      <c r="C236" s="2">
        <v>44759.645243055558</v>
      </c>
      <c r="D236" s="2">
        <v>44759.652546296296</v>
      </c>
      <c r="E236" s="3">
        <f t="shared" si="9"/>
        <v>44759</v>
      </c>
      <c r="F236">
        <f t="shared" si="10"/>
        <v>7</v>
      </c>
      <c r="G236" s="4">
        <f t="shared" si="11"/>
        <v>10.516666662879288</v>
      </c>
      <c r="H236">
        <f>IF(COUNTIFS(B$2:B236,B236,E$2:E236,E236)=1,1,0)</f>
        <v>0</v>
      </c>
      <c r="I236">
        <f>IF(COUNTIFS(B$2:B236,B236,F$2:F236,F236)=1,1,0)</f>
        <v>0</v>
      </c>
    </row>
    <row r="237" spans="1:9" x14ac:dyDescent="0.3">
      <c r="A237">
        <v>247</v>
      </c>
      <c r="B237">
        <v>31</v>
      </c>
      <c r="C237" s="2">
        <v>44759.738229166665</v>
      </c>
      <c r="D237" s="2">
        <v>44759.744699074072</v>
      </c>
      <c r="E237" s="3">
        <f t="shared" si="9"/>
        <v>44759</v>
      </c>
      <c r="F237">
        <f t="shared" si="10"/>
        <v>7</v>
      </c>
      <c r="G237" s="4">
        <f t="shared" si="11"/>
        <v>9.3166666652541608</v>
      </c>
      <c r="H237">
        <f>IF(COUNTIFS(B$2:B237,B237,E$2:E237,E237)=1,1,0)</f>
        <v>0</v>
      </c>
      <c r="I237">
        <f>IF(COUNTIFS(B$2:B237,B237,F$2:F237,F237)=1,1,0)</f>
        <v>0</v>
      </c>
    </row>
    <row r="238" spans="1:9" x14ac:dyDescent="0.3">
      <c r="A238">
        <v>248</v>
      </c>
      <c r="B238">
        <v>31</v>
      </c>
      <c r="C238" s="2">
        <v>44759.890300925923</v>
      </c>
      <c r="D238" s="2">
        <v>44759.895011574074</v>
      </c>
      <c r="E238" s="3">
        <f t="shared" si="9"/>
        <v>44759</v>
      </c>
      <c r="F238">
        <f t="shared" si="10"/>
        <v>7</v>
      </c>
      <c r="G238" s="4">
        <f t="shared" si="11"/>
        <v>6.7833333369344473</v>
      </c>
      <c r="H238">
        <f>IF(COUNTIFS(B$2:B238,B238,E$2:E238,E238)=1,1,0)</f>
        <v>0</v>
      </c>
      <c r="I238">
        <f>IF(COUNTIFS(B$2:B238,B238,F$2:F238,F238)=1,1,0)</f>
        <v>0</v>
      </c>
    </row>
    <row r="239" spans="1:9" x14ac:dyDescent="0.3">
      <c r="A239">
        <v>249</v>
      </c>
      <c r="B239">
        <v>31</v>
      </c>
      <c r="C239" s="2">
        <v>44760.052291666667</v>
      </c>
      <c r="D239" s="2">
        <v>44760.059814814813</v>
      </c>
      <c r="E239" s="3">
        <f t="shared" si="9"/>
        <v>44760</v>
      </c>
      <c r="F239">
        <f t="shared" si="10"/>
        <v>7</v>
      </c>
      <c r="G239" s="4">
        <f t="shared" si="11"/>
        <v>10.833333330228925</v>
      </c>
      <c r="H239">
        <f>IF(COUNTIFS(B$2:B239,B239,E$2:E239,E239)=1,1,0)</f>
        <v>1</v>
      </c>
      <c r="I239">
        <f>IF(COUNTIFS(B$2:B239,B239,F$2:F239,F239)=1,1,0)</f>
        <v>0</v>
      </c>
    </row>
    <row r="240" spans="1:9" x14ac:dyDescent="0.3">
      <c r="A240">
        <v>250</v>
      </c>
      <c r="B240">
        <v>31</v>
      </c>
      <c r="C240" s="2">
        <v>44760.172615740739</v>
      </c>
      <c r="D240" s="2">
        <v>44760.177453703705</v>
      </c>
      <c r="E240" s="3">
        <f t="shared" si="9"/>
        <v>44760</v>
      </c>
      <c r="F240">
        <f t="shared" si="10"/>
        <v>7</v>
      </c>
      <c r="G240" s="4">
        <f t="shared" si="11"/>
        <v>6.9666666712146252</v>
      </c>
      <c r="H240">
        <f>IF(COUNTIFS(B$2:B240,B240,E$2:E240,E240)=1,1,0)</f>
        <v>0</v>
      </c>
      <c r="I240">
        <f>IF(COUNTIFS(B$2:B240,B240,F$2:F240,F240)=1,1,0)</f>
        <v>0</v>
      </c>
    </row>
    <row r="241" spans="1:9" x14ac:dyDescent="0.3">
      <c r="A241">
        <v>251</v>
      </c>
      <c r="B241">
        <v>31</v>
      </c>
      <c r="C241" s="2">
        <v>44760.343530092592</v>
      </c>
      <c r="D241" s="2">
        <v>44760.348993055559</v>
      </c>
      <c r="E241" s="3">
        <f t="shared" si="9"/>
        <v>44760</v>
      </c>
      <c r="F241">
        <f t="shared" si="10"/>
        <v>7</v>
      </c>
      <c r="G241" s="4">
        <f t="shared" si="11"/>
        <v>7.8666666720528156</v>
      </c>
      <c r="H241">
        <f>IF(COUNTIFS(B$2:B241,B241,E$2:E241,E241)=1,1,0)</f>
        <v>0</v>
      </c>
      <c r="I241">
        <f>IF(COUNTIFS(B$2:B241,B241,F$2:F241,F241)=1,1,0)</f>
        <v>0</v>
      </c>
    </row>
    <row r="242" spans="1:9" x14ac:dyDescent="0.3">
      <c r="A242">
        <v>252</v>
      </c>
      <c r="B242">
        <v>31</v>
      </c>
      <c r="C242" s="2">
        <v>44760.641377314816</v>
      </c>
      <c r="D242" s="2">
        <v>44760.647534722222</v>
      </c>
      <c r="E242" s="3">
        <f t="shared" si="9"/>
        <v>44760</v>
      </c>
      <c r="F242">
        <f t="shared" si="10"/>
        <v>7</v>
      </c>
      <c r="G242" s="4">
        <f t="shared" si="11"/>
        <v>8.8666666648350656</v>
      </c>
      <c r="H242">
        <f>IF(COUNTIFS(B$2:B242,B242,E$2:E242,E242)=1,1,0)</f>
        <v>0</v>
      </c>
      <c r="I242">
        <f>IF(COUNTIFS(B$2:B242,B242,F$2:F242,F242)=1,1,0)</f>
        <v>0</v>
      </c>
    </row>
    <row r="243" spans="1:9" x14ac:dyDescent="0.3">
      <c r="A243">
        <v>253</v>
      </c>
      <c r="B243">
        <v>31</v>
      </c>
      <c r="C243" s="2">
        <v>44760.855821759258</v>
      </c>
      <c r="D243" s="2">
        <v>44760.861238425925</v>
      </c>
      <c r="E243" s="3">
        <f t="shared" si="9"/>
        <v>44760</v>
      </c>
      <c r="F243">
        <f t="shared" si="10"/>
        <v>7</v>
      </c>
      <c r="G243" s="4">
        <f t="shared" si="11"/>
        <v>7.8000000002793968</v>
      </c>
      <c r="H243">
        <f>IF(COUNTIFS(B$2:B243,B243,E$2:E243,E243)=1,1,0)</f>
        <v>0</v>
      </c>
      <c r="I243">
        <f>IF(COUNTIFS(B$2:B243,B243,F$2:F243,F243)=1,1,0)</f>
        <v>0</v>
      </c>
    </row>
    <row r="244" spans="1:9" x14ac:dyDescent="0.3">
      <c r="A244">
        <v>254</v>
      </c>
      <c r="B244">
        <v>31</v>
      </c>
      <c r="C244" s="2">
        <v>44761.138379629629</v>
      </c>
      <c r="D244" s="2">
        <v>44761.143263888887</v>
      </c>
      <c r="E244" s="3">
        <f t="shared" si="9"/>
        <v>44761</v>
      </c>
      <c r="F244">
        <f t="shared" si="10"/>
        <v>7</v>
      </c>
      <c r="G244" s="4">
        <f t="shared" si="11"/>
        <v>7.0333333325106651</v>
      </c>
      <c r="H244">
        <f>IF(COUNTIFS(B$2:B244,B244,E$2:E244,E244)=1,1,0)</f>
        <v>1</v>
      </c>
      <c r="I244">
        <f>IF(COUNTIFS(B$2:B244,B244,F$2:F244,F244)=1,1,0)</f>
        <v>0</v>
      </c>
    </row>
    <row r="245" spans="1:9" x14ac:dyDescent="0.3">
      <c r="A245">
        <v>255</v>
      </c>
      <c r="B245">
        <v>32</v>
      </c>
      <c r="C245" s="2">
        <v>44616.16878472222</v>
      </c>
      <c r="D245" s="2">
        <v>44616.173020833332</v>
      </c>
      <c r="E245" s="3">
        <f t="shared" si="9"/>
        <v>44616</v>
      </c>
      <c r="F245">
        <f t="shared" si="10"/>
        <v>2</v>
      </c>
      <c r="G245" s="4">
        <f t="shared" si="11"/>
        <v>6.1000000010244548</v>
      </c>
      <c r="H245">
        <f>IF(COUNTIFS(B$2:B245,B245,E$2:E245,E245)=1,1,0)</f>
        <v>1</v>
      </c>
      <c r="I245">
        <f>IF(COUNTIFS(B$2:B245,B245,F$2:F245,F245)=1,1,0)</f>
        <v>1</v>
      </c>
    </row>
    <row r="246" spans="1:9" x14ac:dyDescent="0.3">
      <c r="A246">
        <v>256</v>
      </c>
      <c r="B246">
        <v>32</v>
      </c>
      <c r="C246" s="2">
        <v>44616.250543981485</v>
      </c>
      <c r="D246" s="2">
        <v>44616.256898148145</v>
      </c>
      <c r="E246" s="3">
        <f t="shared" si="9"/>
        <v>44616</v>
      </c>
      <c r="F246">
        <f t="shared" si="10"/>
        <v>2</v>
      </c>
      <c r="G246" s="4">
        <f t="shared" si="11"/>
        <v>9.1499999910593033</v>
      </c>
      <c r="H246">
        <f>IF(COUNTIFS(B$2:B246,B246,E$2:E246,E246)=1,1,0)</f>
        <v>0</v>
      </c>
      <c r="I246">
        <f>IF(COUNTIFS(B$2:B246,B246,F$2:F246,F246)=1,1,0)</f>
        <v>0</v>
      </c>
    </row>
    <row r="247" spans="1:9" x14ac:dyDescent="0.3">
      <c r="A247">
        <v>257</v>
      </c>
      <c r="B247">
        <v>33</v>
      </c>
      <c r="C247" s="2">
        <v>44592.584444444445</v>
      </c>
      <c r="D247" s="2">
        <v>44592.588761574072</v>
      </c>
      <c r="E247" s="3">
        <f t="shared" si="9"/>
        <v>44592</v>
      </c>
      <c r="F247">
        <f t="shared" si="10"/>
        <v>1</v>
      </c>
      <c r="G247" s="4">
        <f t="shared" si="11"/>
        <v>6.216666663531214</v>
      </c>
      <c r="H247">
        <f>IF(COUNTIFS(B$2:B247,B247,E$2:E247,E247)=1,1,0)</f>
        <v>1</v>
      </c>
      <c r="I247">
        <f>IF(COUNTIFS(B$2:B247,B247,F$2:F247,F247)=1,1,0)</f>
        <v>1</v>
      </c>
    </row>
    <row r="248" spans="1:9" x14ac:dyDescent="0.3">
      <c r="A248">
        <v>258</v>
      </c>
      <c r="B248">
        <v>33</v>
      </c>
      <c r="C248" s="2">
        <v>44592.835706018515</v>
      </c>
      <c r="D248" s="2">
        <v>44592.842673611114</v>
      </c>
      <c r="E248" s="3">
        <f t="shared" si="9"/>
        <v>44592</v>
      </c>
      <c r="F248">
        <f t="shared" si="10"/>
        <v>1</v>
      </c>
      <c r="G248" s="4">
        <f t="shared" si="11"/>
        <v>10.033333342289552</v>
      </c>
      <c r="H248">
        <f>IF(COUNTIFS(B$2:B248,B248,E$2:E248,E248)=1,1,0)</f>
        <v>0</v>
      </c>
      <c r="I248">
        <f>IF(COUNTIFS(B$2:B248,B248,F$2:F248,F248)=1,1,0)</f>
        <v>0</v>
      </c>
    </row>
    <row r="249" spans="1:9" x14ac:dyDescent="0.3">
      <c r="A249">
        <v>259</v>
      </c>
      <c r="B249">
        <v>33</v>
      </c>
      <c r="C249" s="2">
        <v>44593.035810185182</v>
      </c>
      <c r="D249" s="2">
        <v>44593.0390162037</v>
      </c>
      <c r="E249" s="3">
        <f t="shared" si="9"/>
        <v>44593</v>
      </c>
      <c r="F249">
        <f t="shared" si="10"/>
        <v>2</v>
      </c>
      <c r="G249" s="4">
        <f t="shared" si="11"/>
        <v>4.6166666666977108</v>
      </c>
      <c r="H249">
        <f>IF(COUNTIFS(B$2:B249,B249,E$2:E249,E249)=1,1,0)</f>
        <v>1</v>
      </c>
      <c r="I249">
        <f>IF(COUNTIFS(B$2:B249,B249,F$2:F249,F249)=1,1,0)</f>
        <v>1</v>
      </c>
    </row>
    <row r="250" spans="1:9" x14ac:dyDescent="0.3">
      <c r="A250">
        <v>260</v>
      </c>
      <c r="B250">
        <v>33</v>
      </c>
      <c r="C250" s="2">
        <v>44593.241967592592</v>
      </c>
      <c r="D250" s="2">
        <v>44593.246539351851</v>
      </c>
      <c r="E250" s="3">
        <f t="shared" si="9"/>
        <v>44593</v>
      </c>
      <c r="F250">
        <f t="shared" si="10"/>
        <v>2</v>
      </c>
      <c r="G250" s="4">
        <f t="shared" si="11"/>
        <v>6.5833333320915699</v>
      </c>
      <c r="H250">
        <f>IF(COUNTIFS(B$2:B250,B250,E$2:E250,E250)=1,1,0)</f>
        <v>0</v>
      </c>
      <c r="I250">
        <f>IF(COUNTIFS(B$2:B250,B250,F$2:F250,F250)=1,1,0)</f>
        <v>0</v>
      </c>
    </row>
    <row r="251" spans="1:9" x14ac:dyDescent="0.3">
      <c r="A251">
        <v>261</v>
      </c>
      <c r="B251">
        <v>34</v>
      </c>
      <c r="C251" s="2">
        <v>44635.885231481479</v>
      </c>
      <c r="D251" s="2">
        <v>44635.892233796294</v>
      </c>
      <c r="E251" s="3">
        <f t="shared" si="9"/>
        <v>44635</v>
      </c>
      <c r="F251">
        <f t="shared" si="10"/>
        <v>3</v>
      </c>
      <c r="G251" s="4">
        <f t="shared" si="11"/>
        <v>10.083333333022892</v>
      </c>
      <c r="H251">
        <f>IF(COUNTIFS(B$2:B251,B251,E$2:E251,E251)=1,1,0)</f>
        <v>1</v>
      </c>
      <c r="I251">
        <f>IF(COUNTIFS(B$2:B251,B251,F$2:F251,F251)=1,1,0)</f>
        <v>1</v>
      </c>
    </row>
    <row r="252" spans="1:9" x14ac:dyDescent="0.3">
      <c r="A252">
        <v>262</v>
      </c>
      <c r="B252">
        <v>35</v>
      </c>
      <c r="C252" s="2">
        <v>44721.187789351854</v>
      </c>
      <c r="D252" s="2">
        <v>44721.195069444446</v>
      </c>
      <c r="E252" s="3">
        <f t="shared" si="9"/>
        <v>44721</v>
      </c>
      <c r="F252">
        <f t="shared" si="10"/>
        <v>6</v>
      </c>
      <c r="G252" s="4">
        <f t="shared" si="11"/>
        <v>10.483333332231268</v>
      </c>
      <c r="H252">
        <f>IF(COUNTIFS(B$2:B252,B252,E$2:E252,E252)=1,1,0)</f>
        <v>1</v>
      </c>
      <c r="I252">
        <f>IF(COUNTIFS(B$2:B252,B252,F$2:F252,F252)=1,1,0)</f>
        <v>1</v>
      </c>
    </row>
    <row r="253" spans="1:9" x14ac:dyDescent="0.3">
      <c r="A253">
        <v>263</v>
      </c>
      <c r="B253">
        <v>35</v>
      </c>
      <c r="C253" s="2">
        <v>44721.234675925924</v>
      </c>
      <c r="D253" s="2">
        <v>44721.24318287037</v>
      </c>
      <c r="E253" s="3">
        <f t="shared" si="9"/>
        <v>44721</v>
      </c>
      <c r="F253">
        <f t="shared" si="10"/>
        <v>6</v>
      </c>
      <c r="G253" s="4">
        <f t="shared" si="11"/>
        <v>12.250000003259629</v>
      </c>
      <c r="H253">
        <f>IF(COUNTIFS(B$2:B253,B253,E$2:E253,E253)=1,1,0)</f>
        <v>0</v>
      </c>
      <c r="I253">
        <f>IF(COUNTIFS(B$2:B253,B253,F$2:F253,F253)=1,1,0)</f>
        <v>0</v>
      </c>
    </row>
    <row r="254" spans="1:9" x14ac:dyDescent="0.3">
      <c r="A254">
        <v>264</v>
      </c>
      <c r="B254">
        <v>35</v>
      </c>
      <c r="C254" s="2">
        <v>44721.447789351849</v>
      </c>
      <c r="D254" s="2">
        <v>44721.453530092593</v>
      </c>
      <c r="E254" s="3">
        <f t="shared" si="9"/>
        <v>44721</v>
      </c>
      <c r="F254">
        <f t="shared" si="10"/>
        <v>6</v>
      </c>
      <c r="G254" s="4">
        <f t="shared" si="11"/>
        <v>8.2666666712611914</v>
      </c>
      <c r="H254">
        <f>IF(COUNTIFS(B$2:B254,B254,E$2:E254,E254)=1,1,0)</f>
        <v>0</v>
      </c>
      <c r="I254">
        <f>IF(COUNTIFS(B$2:B254,B254,F$2:F254,F254)=1,1,0)</f>
        <v>0</v>
      </c>
    </row>
    <row r="255" spans="1:9" x14ac:dyDescent="0.3">
      <c r="A255">
        <v>265</v>
      </c>
      <c r="B255">
        <v>35</v>
      </c>
      <c r="C255" s="2">
        <v>44721.795185185183</v>
      </c>
      <c r="D255" s="2">
        <v>44721.801145833335</v>
      </c>
      <c r="E255" s="3">
        <f t="shared" si="9"/>
        <v>44721</v>
      </c>
      <c r="F255">
        <f t="shared" si="10"/>
        <v>6</v>
      </c>
      <c r="G255" s="4">
        <f t="shared" si="11"/>
        <v>8.5833333386108279</v>
      </c>
      <c r="H255">
        <f>IF(COUNTIFS(B$2:B255,B255,E$2:E255,E255)=1,1,0)</f>
        <v>0</v>
      </c>
      <c r="I255">
        <f>IF(COUNTIFS(B$2:B255,B255,F$2:F255,F255)=1,1,0)</f>
        <v>0</v>
      </c>
    </row>
    <row r="256" spans="1:9" x14ac:dyDescent="0.3">
      <c r="A256">
        <v>266</v>
      </c>
      <c r="B256">
        <v>35</v>
      </c>
      <c r="C256" s="2">
        <v>44722.080972222226</v>
      </c>
      <c r="D256" s="2">
        <v>44722.08861111111</v>
      </c>
      <c r="E256" s="3">
        <f t="shared" si="9"/>
        <v>44722</v>
      </c>
      <c r="F256">
        <f t="shared" si="10"/>
        <v>6</v>
      </c>
      <c r="G256" s="4">
        <f t="shared" si="11"/>
        <v>10.999999993946403</v>
      </c>
      <c r="H256">
        <f>IF(COUNTIFS(B$2:B256,B256,E$2:E256,E256)=1,1,0)</f>
        <v>1</v>
      </c>
      <c r="I256">
        <f>IF(COUNTIFS(B$2:B256,B256,F$2:F256,F256)=1,1,0)</f>
        <v>0</v>
      </c>
    </row>
    <row r="257" spans="1:9" x14ac:dyDescent="0.3">
      <c r="A257">
        <v>267</v>
      </c>
      <c r="B257">
        <v>36</v>
      </c>
      <c r="C257" s="2">
        <v>44885.956053240741</v>
      </c>
      <c r="D257" s="2">
        <v>44885.962418981479</v>
      </c>
      <c r="E257" s="3">
        <f t="shared" si="9"/>
        <v>44885</v>
      </c>
      <c r="F257">
        <f t="shared" si="10"/>
        <v>11</v>
      </c>
      <c r="G257" s="4">
        <f t="shared" si="11"/>
        <v>9.1666666616220027</v>
      </c>
      <c r="H257">
        <f>IF(COUNTIFS(B$2:B257,B257,E$2:E257,E257)=1,1,0)</f>
        <v>1</v>
      </c>
      <c r="I257">
        <f>IF(COUNTIFS(B$2:B257,B257,F$2:F257,F257)=1,1,0)</f>
        <v>1</v>
      </c>
    </row>
    <row r="258" spans="1:9" x14ac:dyDescent="0.3">
      <c r="A258">
        <v>268</v>
      </c>
      <c r="B258">
        <v>36</v>
      </c>
      <c r="C258" s="2">
        <v>44886.181516203702</v>
      </c>
      <c r="D258" s="2">
        <v>44886.187337962961</v>
      </c>
      <c r="E258" s="3">
        <f t="shared" ref="E258:E321" si="12">INT(C258)</f>
        <v>44886</v>
      </c>
      <c r="F258">
        <f t="shared" ref="F258:F321" si="13">MONTH(C258)</f>
        <v>11</v>
      </c>
      <c r="G258" s="4">
        <f t="shared" ref="G258:G321" si="14">(D258-C258)*1440</f>
        <v>8.3833333337679505</v>
      </c>
      <c r="H258">
        <f>IF(COUNTIFS(B$2:B258,B258,E$2:E258,E258)=1,1,0)</f>
        <v>1</v>
      </c>
      <c r="I258">
        <f>IF(COUNTIFS(B$2:B258,B258,F$2:F258,F258)=1,1,0)</f>
        <v>0</v>
      </c>
    </row>
    <row r="259" spans="1:9" x14ac:dyDescent="0.3">
      <c r="A259">
        <v>269</v>
      </c>
      <c r="B259">
        <v>36</v>
      </c>
      <c r="C259" s="2">
        <v>44886.225393518522</v>
      </c>
      <c r="D259" s="2">
        <v>44886.228819444441</v>
      </c>
      <c r="E259" s="3">
        <f t="shared" si="12"/>
        <v>44886</v>
      </c>
      <c r="F259">
        <f t="shared" si="13"/>
        <v>11</v>
      </c>
      <c r="G259" s="4">
        <f t="shared" si="14"/>
        <v>4.9333333235699683</v>
      </c>
      <c r="H259">
        <f>IF(COUNTIFS(B$2:B259,B259,E$2:E259,E259)=1,1,0)</f>
        <v>0</v>
      </c>
      <c r="I259">
        <f>IF(COUNTIFS(B$2:B259,B259,F$2:F259,F259)=1,1,0)</f>
        <v>0</v>
      </c>
    </row>
    <row r="260" spans="1:9" x14ac:dyDescent="0.3">
      <c r="A260">
        <v>270</v>
      </c>
      <c r="B260">
        <v>36</v>
      </c>
      <c r="C260" s="2">
        <v>44886.433923611112</v>
      </c>
      <c r="D260" s="2">
        <v>44886.442453703705</v>
      </c>
      <c r="E260" s="3">
        <f t="shared" si="12"/>
        <v>44886</v>
      </c>
      <c r="F260">
        <f t="shared" si="13"/>
        <v>11</v>
      </c>
      <c r="G260" s="4">
        <f t="shared" si="14"/>
        <v>12.283333333907649</v>
      </c>
      <c r="H260">
        <f>IF(COUNTIFS(B$2:B260,B260,E$2:E260,E260)=1,1,0)</f>
        <v>0</v>
      </c>
      <c r="I260">
        <f>IF(COUNTIFS(B$2:B260,B260,F$2:F260,F260)=1,1,0)</f>
        <v>0</v>
      </c>
    </row>
    <row r="261" spans="1:9" x14ac:dyDescent="0.3">
      <c r="A261">
        <v>271</v>
      </c>
      <c r="B261">
        <v>36</v>
      </c>
      <c r="C261" s="2">
        <v>44886.776875000003</v>
      </c>
      <c r="D261" s="2">
        <v>44886.784837962965</v>
      </c>
      <c r="E261" s="3">
        <f t="shared" si="12"/>
        <v>44886</v>
      </c>
      <c r="F261">
        <f t="shared" si="13"/>
        <v>11</v>
      </c>
      <c r="G261" s="4">
        <f t="shared" si="14"/>
        <v>11.466666664928198</v>
      </c>
      <c r="H261">
        <f>IF(COUNTIFS(B$2:B261,B261,E$2:E261,E261)=1,1,0)</f>
        <v>0</v>
      </c>
      <c r="I261">
        <f>IF(COUNTIFS(B$2:B261,B261,F$2:F261,F261)=1,1,0)</f>
        <v>0</v>
      </c>
    </row>
    <row r="262" spans="1:9" x14ac:dyDescent="0.3">
      <c r="A262">
        <v>272</v>
      </c>
      <c r="B262">
        <v>36</v>
      </c>
      <c r="C262" s="2">
        <v>44886.953090277777</v>
      </c>
      <c r="D262" s="2">
        <v>44886.957546296297</v>
      </c>
      <c r="E262" s="3">
        <f t="shared" si="12"/>
        <v>44886</v>
      </c>
      <c r="F262">
        <f t="shared" si="13"/>
        <v>11</v>
      </c>
      <c r="G262" s="4">
        <f t="shared" si="14"/>
        <v>6.4166666683740914</v>
      </c>
      <c r="H262">
        <f>IF(COUNTIFS(B$2:B262,B262,E$2:E262,E262)=1,1,0)</f>
        <v>0</v>
      </c>
      <c r="I262">
        <f>IF(COUNTIFS(B$2:B262,B262,F$2:F262,F262)=1,1,0)</f>
        <v>0</v>
      </c>
    </row>
    <row r="263" spans="1:9" x14ac:dyDescent="0.3">
      <c r="A263">
        <v>273</v>
      </c>
      <c r="B263">
        <v>36</v>
      </c>
      <c r="C263" s="2">
        <v>44887.041377314818</v>
      </c>
      <c r="D263" s="2">
        <v>44887.048263888886</v>
      </c>
      <c r="E263" s="3">
        <f t="shared" si="12"/>
        <v>44887</v>
      </c>
      <c r="F263">
        <f t="shared" si="13"/>
        <v>11</v>
      </c>
      <c r="G263" s="4">
        <f t="shared" si="14"/>
        <v>9.916666658828035</v>
      </c>
      <c r="H263">
        <f>IF(COUNTIFS(B$2:B263,B263,E$2:E263,E263)=1,1,0)</f>
        <v>1</v>
      </c>
      <c r="I263">
        <f>IF(COUNTIFS(B$2:B263,B263,F$2:F263,F263)=1,1,0)</f>
        <v>0</v>
      </c>
    </row>
    <row r="264" spans="1:9" x14ac:dyDescent="0.3">
      <c r="A264">
        <v>274</v>
      </c>
      <c r="B264">
        <v>36</v>
      </c>
      <c r="C264" s="2">
        <v>44887.219872685186</v>
      </c>
      <c r="D264" s="2">
        <v>44887.224641203706</v>
      </c>
      <c r="E264" s="3">
        <f t="shared" si="12"/>
        <v>44887</v>
      </c>
      <c r="F264">
        <f t="shared" si="13"/>
        <v>11</v>
      </c>
      <c r="G264" s="4">
        <f t="shared" si="14"/>
        <v>6.8666666687931865</v>
      </c>
      <c r="H264">
        <f>IF(COUNTIFS(B$2:B264,B264,E$2:E264,E264)=1,1,0)</f>
        <v>0</v>
      </c>
      <c r="I264">
        <f>IF(COUNTIFS(B$2:B264,B264,F$2:F264,F264)=1,1,0)</f>
        <v>0</v>
      </c>
    </row>
    <row r="265" spans="1:9" x14ac:dyDescent="0.3">
      <c r="A265">
        <v>275</v>
      </c>
      <c r="B265">
        <v>36</v>
      </c>
      <c r="C265" s="2">
        <v>44887.454861111109</v>
      </c>
      <c r="D265" s="2">
        <v>44887.462083333332</v>
      </c>
      <c r="E265" s="3">
        <f t="shared" si="12"/>
        <v>44887</v>
      </c>
      <c r="F265">
        <f t="shared" si="13"/>
        <v>11</v>
      </c>
      <c r="G265" s="4">
        <f t="shared" si="14"/>
        <v>10.400000000372529</v>
      </c>
      <c r="H265">
        <f>IF(COUNTIFS(B$2:B265,B265,E$2:E265,E265)=1,1,0)</f>
        <v>0</v>
      </c>
      <c r="I265">
        <f>IF(COUNTIFS(B$2:B265,B265,F$2:F265,F265)=1,1,0)</f>
        <v>0</v>
      </c>
    </row>
    <row r="266" spans="1:9" x14ac:dyDescent="0.3">
      <c r="A266">
        <v>276</v>
      </c>
      <c r="B266">
        <v>36</v>
      </c>
      <c r="C266" s="2">
        <v>44887.507905092592</v>
      </c>
      <c r="D266" s="2">
        <v>44887.515648148146</v>
      </c>
      <c r="E266" s="3">
        <f t="shared" si="12"/>
        <v>44887</v>
      </c>
      <c r="F266">
        <f t="shared" si="13"/>
        <v>11</v>
      </c>
      <c r="G266" s="4">
        <f t="shared" si="14"/>
        <v>11.149999997578561</v>
      </c>
      <c r="H266">
        <f>IF(COUNTIFS(B$2:B266,B266,E$2:E266,E266)=1,1,0)</f>
        <v>0</v>
      </c>
      <c r="I266">
        <f>IF(COUNTIFS(B$2:B266,B266,F$2:F266,F266)=1,1,0)</f>
        <v>0</v>
      </c>
    </row>
    <row r="267" spans="1:9" x14ac:dyDescent="0.3">
      <c r="A267">
        <v>277</v>
      </c>
      <c r="B267">
        <v>36</v>
      </c>
      <c r="C267" s="2">
        <v>44887.557314814818</v>
      </c>
      <c r="D267" s="2">
        <v>44887.562743055554</v>
      </c>
      <c r="E267" s="3">
        <f t="shared" si="12"/>
        <v>44887</v>
      </c>
      <c r="F267">
        <f t="shared" si="13"/>
        <v>11</v>
      </c>
      <c r="G267" s="4">
        <f t="shared" si="14"/>
        <v>7.8166666603647172</v>
      </c>
      <c r="H267">
        <f>IF(COUNTIFS(B$2:B267,B267,E$2:E267,E267)=1,1,0)</f>
        <v>0</v>
      </c>
      <c r="I267">
        <f>IF(COUNTIFS(B$2:B267,B267,F$2:F267,F267)=1,1,0)</f>
        <v>0</v>
      </c>
    </row>
    <row r="268" spans="1:9" x14ac:dyDescent="0.3">
      <c r="A268">
        <v>278</v>
      </c>
      <c r="B268">
        <v>36</v>
      </c>
      <c r="C268" s="2">
        <v>44887.678935185184</v>
      </c>
      <c r="D268" s="2">
        <v>44887.684814814813</v>
      </c>
      <c r="E268" s="3">
        <f t="shared" si="12"/>
        <v>44887</v>
      </c>
      <c r="F268">
        <f t="shared" si="13"/>
        <v>11</v>
      </c>
      <c r="G268" s="4">
        <f t="shared" si="14"/>
        <v>8.4666666656266898</v>
      </c>
      <c r="H268">
        <f>IF(COUNTIFS(B$2:B268,B268,E$2:E268,E268)=1,1,0)</f>
        <v>0</v>
      </c>
      <c r="I268">
        <f>IF(COUNTIFS(B$2:B268,B268,F$2:F268,F268)=1,1,0)</f>
        <v>0</v>
      </c>
    </row>
    <row r="269" spans="1:9" x14ac:dyDescent="0.3">
      <c r="A269">
        <v>279</v>
      </c>
      <c r="B269">
        <v>36</v>
      </c>
      <c r="C269" s="2">
        <v>44887.796180555553</v>
      </c>
      <c r="D269" s="2">
        <v>44887.799097222225</v>
      </c>
      <c r="E269" s="3">
        <f t="shared" si="12"/>
        <v>44887</v>
      </c>
      <c r="F269">
        <f t="shared" si="13"/>
        <v>11</v>
      </c>
      <c r="G269" s="4">
        <f t="shared" si="14"/>
        <v>4.2000000074040145</v>
      </c>
      <c r="H269">
        <f>IF(COUNTIFS(B$2:B269,B269,E$2:E269,E269)=1,1,0)</f>
        <v>0</v>
      </c>
      <c r="I269">
        <f>IF(COUNTIFS(B$2:B269,B269,F$2:F269,F269)=1,1,0)</f>
        <v>0</v>
      </c>
    </row>
    <row r="270" spans="1:9" x14ac:dyDescent="0.3">
      <c r="A270">
        <v>280</v>
      </c>
      <c r="B270">
        <v>36</v>
      </c>
      <c r="C270" s="2">
        <v>44887.949004629627</v>
      </c>
      <c r="D270" s="2">
        <v>44887.955520833333</v>
      </c>
      <c r="E270" s="3">
        <f t="shared" si="12"/>
        <v>44887</v>
      </c>
      <c r="F270">
        <f t="shared" si="13"/>
        <v>11</v>
      </c>
      <c r="G270" s="4">
        <f t="shared" si="14"/>
        <v>9.3833333370275795</v>
      </c>
      <c r="H270">
        <f>IF(COUNTIFS(B$2:B270,B270,E$2:E270,E270)=1,1,0)</f>
        <v>0</v>
      </c>
      <c r="I270">
        <f>IF(COUNTIFS(B$2:B270,B270,F$2:F270,F270)=1,1,0)</f>
        <v>0</v>
      </c>
    </row>
    <row r="271" spans="1:9" x14ac:dyDescent="0.3">
      <c r="A271">
        <v>281</v>
      </c>
      <c r="B271">
        <v>36</v>
      </c>
      <c r="C271" s="2">
        <v>44888.1328587963</v>
      </c>
      <c r="D271" s="2">
        <v>44888.134953703702</v>
      </c>
      <c r="E271" s="3">
        <f t="shared" si="12"/>
        <v>44888</v>
      </c>
      <c r="F271">
        <f t="shared" si="13"/>
        <v>11</v>
      </c>
      <c r="G271" s="4">
        <f t="shared" si="14"/>
        <v>3.0166666593868285</v>
      </c>
      <c r="H271">
        <f>IF(COUNTIFS(B$2:B271,B271,E$2:E271,E271)=1,1,0)</f>
        <v>1</v>
      </c>
      <c r="I271">
        <f>IF(COUNTIFS(B$2:B271,B271,F$2:F271,F271)=1,1,0)</f>
        <v>0</v>
      </c>
    </row>
    <row r="272" spans="1:9" x14ac:dyDescent="0.3">
      <c r="A272">
        <v>282</v>
      </c>
      <c r="B272">
        <v>36</v>
      </c>
      <c r="C272" s="2">
        <v>44888.214513888888</v>
      </c>
      <c r="D272" s="2">
        <v>44888.221446759257</v>
      </c>
      <c r="E272" s="3">
        <f t="shared" si="12"/>
        <v>44888</v>
      </c>
      <c r="F272">
        <f t="shared" si="13"/>
        <v>11</v>
      </c>
      <c r="G272" s="4">
        <f t="shared" si="14"/>
        <v>9.9833333306014538</v>
      </c>
      <c r="H272">
        <f>IF(COUNTIFS(B$2:B272,B272,E$2:E272,E272)=1,1,0)</f>
        <v>0</v>
      </c>
      <c r="I272">
        <f>IF(COUNTIFS(B$2:B272,B272,F$2:F272,F272)=1,1,0)</f>
        <v>0</v>
      </c>
    </row>
    <row r="273" spans="1:9" x14ac:dyDescent="0.3">
      <c r="A273">
        <v>283</v>
      </c>
      <c r="B273">
        <v>36</v>
      </c>
      <c r="C273" s="2">
        <v>44888.47420138889</v>
      </c>
      <c r="D273" s="2">
        <v>44888.479583333334</v>
      </c>
      <c r="E273" s="3">
        <f t="shared" si="12"/>
        <v>44888</v>
      </c>
      <c r="F273">
        <f t="shared" si="13"/>
        <v>11</v>
      </c>
      <c r="G273" s="4">
        <f t="shared" si="14"/>
        <v>7.7499999990686774</v>
      </c>
      <c r="H273">
        <f>IF(COUNTIFS(B$2:B273,B273,E$2:E273,E273)=1,1,0)</f>
        <v>0</v>
      </c>
      <c r="I273">
        <f>IF(COUNTIFS(B$2:B273,B273,F$2:F273,F273)=1,1,0)</f>
        <v>0</v>
      </c>
    </row>
    <row r="274" spans="1:9" x14ac:dyDescent="0.3">
      <c r="A274">
        <v>284</v>
      </c>
      <c r="B274">
        <v>36</v>
      </c>
      <c r="C274" s="2">
        <v>44888.590856481482</v>
      </c>
      <c r="D274" s="2">
        <v>44888.596689814818</v>
      </c>
      <c r="E274" s="3">
        <f t="shared" si="12"/>
        <v>44888</v>
      </c>
      <c r="F274">
        <f t="shared" si="13"/>
        <v>11</v>
      </c>
      <c r="G274" s="4">
        <f t="shared" si="14"/>
        <v>8.40000000433065</v>
      </c>
      <c r="H274">
        <f>IF(COUNTIFS(B$2:B274,B274,E$2:E274,E274)=1,1,0)</f>
        <v>0</v>
      </c>
      <c r="I274">
        <f>IF(COUNTIFS(B$2:B274,B274,F$2:F274,F274)=1,1,0)</f>
        <v>0</v>
      </c>
    </row>
    <row r="275" spans="1:9" x14ac:dyDescent="0.3">
      <c r="A275">
        <v>285</v>
      </c>
      <c r="B275">
        <v>36</v>
      </c>
      <c r="C275" s="2">
        <v>44888.890057870369</v>
      </c>
      <c r="D275" s="2">
        <v>44888.897141203706</v>
      </c>
      <c r="E275" s="3">
        <f t="shared" si="12"/>
        <v>44888</v>
      </c>
      <c r="F275">
        <f t="shared" si="13"/>
        <v>11</v>
      </c>
      <c r="G275" s="4">
        <f t="shared" si="14"/>
        <v>10.200000006007031</v>
      </c>
      <c r="H275">
        <f>IF(COUNTIFS(B$2:B275,B275,E$2:E275,E275)=1,1,0)</f>
        <v>0</v>
      </c>
      <c r="I275">
        <f>IF(COUNTIFS(B$2:B275,B275,F$2:F275,F275)=1,1,0)</f>
        <v>0</v>
      </c>
    </row>
    <row r="276" spans="1:9" x14ac:dyDescent="0.3">
      <c r="A276">
        <v>286</v>
      </c>
      <c r="B276">
        <v>36</v>
      </c>
      <c r="C276" s="2">
        <v>44889.126099537039</v>
      </c>
      <c r="D276" s="2">
        <v>44889.131805555553</v>
      </c>
      <c r="E276" s="3">
        <f t="shared" si="12"/>
        <v>44889</v>
      </c>
      <c r="F276">
        <f t="shared" si="13"/>
        <v>11</v>
      </c>
      <c r="G276" s="4">
        <f t="shared" si="14"/>
        <v>8.2166666595730931</v>
      </c>
      <c r="H276">
        <f>IF(COUNTIFS(B$2:B276,B276,E$2:E276,E276)=1,1,0)</f>
        <v>1</v>
      </c>
      <c r="I276">
        <f>IF(COUNTIFS(B$2:B276,B276,F$2:F276,F276)=1,1,0)</f>
        <v>0</v>
      </c>
    </row>
    <row r="277" spans="1:9" x14ac:dyDescent="0.3">
      <c r="A277">
        <v>287</v>
      </c>
      <c r="B277">
        <v>36</v>
      </c>
      <c r="C277" s="2">
        <v>44889.285034722219</v>
      </c>
      <c r="D277" s="2">
        <v>44889.293680555558</v>
      </c>
      <c r="E277" s="3">
        <f t="shared" si="12"/>
        <v>44889</v>
      </c>
      <c r="F277">
        <f t="shared" si="13"/>
        <v>11</v>
      </c>
      <c r="G277" s="4">
        <f t="shared" si="14"/>
        <v>12.450000008102506</v>
      </c>
      <c r="H277">
        <f>IF(COUNTIFS(B$2:B277,B277,E$2:E277,E277)=1,1,0)</f>
        <v>0</v>
      </c>
      <c r="I277">
        <f>IF(COUNTIFS(B$2:B277,B277,F$2:F277,F277)=1,1,0)</f>
        <v>0</v>
      </c>
    </row>
    <row r="278" spans="1:9" x14ac:dyDescent="0.3">
      <c r="A278">
        <v>288</v>
      </c>
      <c r="B278">
        <v>36</v>
      </c>
      <c r="C278" s="2">
        <v>44889.545208333337</v>
      </c>
      <c r="D278" s="2">
        <v>44889.555659722224</v>
      </c>
      <c r="E278" s="3">
        <f t="shared" si="12"/>
        <v>44889</v>
      </c>
      <c r="F278">
        <f t="shared" si="13"/>
        <v>11</v>
      </c>
      <c r="G278" s="4">
        <f t="shared" si="14"/>
        <v>15.04999999771826</v>
      </c>
      <c r="H278">
        <f>IF(COUNTIFS(B$2:B278,B278,E$2:E278,E278)=1,1,0)</f>
        <v>0</v>
      </c>
      <c r="I278">
        <f>IF(COUNTIFS(B$2:B278,B278,F$2:F278,F278)=1,1,0)</f>
        <v>0</v>
      </c>
    </row>
    <row r="279" spans="1:9" x14ac:dyDescent="0.3">
      <c r="A279">
        <v>289</v>
      </c>
      <c r="B279">
        <v>36</v>
      </c>
      <c r="C279" s="2">
        <v>44889.692037037035</v>
      </c>
      <c r="D279" s="2">
        <v>44889.701342592591</v>
      </c>
      <c r="E279" s="3">
        <f t="shared" si="12"/>
        <v>44889</v>
      </c>
      <c r="F279">
        <f t="shared" si="13"/>
        <v>11</v>
      </c>
      <c r="G279" s="4">
        <f t="shared" si="14"/>
        <v>13.399999999674037</v>
      </c>
      <c r="H279">
        <f>IF(COUNTIFS(B$2:B279,B279,E$2:E279,E279)=1,1,0)</f>
        <v>0</v>
      </c>
      <c r="I279">
        <f>IF(COUNTIFS(B$2:B279,B279,F$2:F279,F279)=1,1,0)</f>
        <v>0</v>
      </c>
    </row>
    <row r="280" spans="1:9" x14ac:dyDescent="0.3">
      <c r="A280">
        <v>290</v>
      </c>
      <c r="B280">
        <v>36</v>
      </c>
      <c r="C280" s="2">
        <v>44889.838576388887</v>
      </c>
      <c r="D280" s="2">
        <v>44889.846967592595</v>
      </c>
      <c r="E280" s="3">
        <f t="shared" si="12"/>
        <v>44889</v>
      </c>
      <c r="F280">
        <f t="shared" si="13"/>
        <v>11</v>
      </c>
      <c r="G280" s="4">
        <f t="shared" si="14"/>
        <v>12.08333333954215</v>
      </c>
      <c r="H280">
        <f>IF(COUNTIFS(B$2:B280,B280,E$2:E280,E280)=1,1,0)</f>
        <v>0</v>
      </c>
      <c r="I280">
        <f>IF(COUNTIFS(B$2:B280,B280,F$2:F280,F280)=1,1,0)</f>
        <v>0</v>
      </c>
    </row>
    <row r="281" spans="1:9" x14ac:dyDescent="0.3">
      <c r="A281">
        <v>291</v>
      </c>
      <c r="B281">
        <v>36</v>
      </c>
      <c r="C281" s="2">
        <v>44889.919212962966</v>
      </c>
      <c r="D281" s="2">
        <v>44889.925243055557</v>
      </c>
      <c r="E281" s="3">
        <f t="shared" si="12"/>
        <v>44889</v>
      </c>
      <c r="F281">
        <f t="shared" si="13"/>
        <v>11</v>
      </c>
      <c r="G281" s="4">
        <f t="shared" si="14"/>
        <v>8.6833333305548877</v>
      </c>
      <c r="H281">
        <f>IF(COUNTIFS(B$2:B281,B281,E$2:E281,E281)=1,1,0)</f>
        <v>0</v>
      </c>
      <c r="I281">
        <f>IF(COUNTIFS(B$2:B281,B281,F$2:F281,F281)=1,1,0)</f>
        <v>0</v>
      </c>
    </row>
    <row r="282" spans="1:9" x14ac:dyDescent="0.3">
      <c r="A282">
        <v>292</v>
      </c>
      <c r="B282">
        <v>36</v>
      </c>
      <c r="C282" s="2">
        <v>44890.220914351848</v>
      </c>
      <c r="D282" s="2">
        <v>44890.222372685188</v>
      </c>
      <c r="E282" s="3">
        <f t="shared" si="12"/>
        <v>44890</v>
      </c>
      <c r="F282">
        <f t="shared" si="13"/>
        <v>11</v>
      </c>
      <c r="G282" s="4">
        <f t="shared" si="14"/>
        <v>2.1000000089406967</v>
      </c>
      <c r="H282">
        <f>IF(COUNTIFS(B$2:B282,B282,E$2:E282,E282)=1,1,0)</f>
        <v>1</v>
      </c>
      <c r="I282">
        <f>IF(COUNTIFS(B$2:B282,B282,F$2:F282,F282)=1,1,0)</f>
        <v>0</v>
      </c>
    </row>
    <row r="283" spans="1:9" x14ac:dyDescent="0.3">
      <c r="A283">
        <v>293</v>
      </c>
      <c r="B283">
        <v>36</v>
      </c>
      <c r="C283" s="2">
        <v>44890.405636574076</v>
      </c>
      <c r="D283" s="2">
        <v>44890.409930555557</v>
      </c>
      <c r="E283" s="3">
        <f t="shared" si="12"/>
        <v>44890</v>
      </c>
      <c r="F283">
        <f t="shared" si="13"/>
        <v>11</v>
      </c>
      <c r="G283" s="4">
        <f t="shared" si="14"/>
        <v>6.1833333328831941</v>
      </c>
      <c r="H283">
        <f>IF(COUNTIFS(B$2:B283,B283,E$2:E283,E283)=1,1,0)</f>
        <v>0</v>
      </c>
      <c r="I283">
        <f>IF(COUNTIFS(B$2:B283,B283,F$2:F283,F283)=1,1,0)</f>
        <v>0</v>
      </c>
    </row>
    <row r="284" spans="1:9" x14ac:dyDescent="0.3">
      <c r="A284">
        <v>294</v>
      </c>
      <c r="B284">
        <v>36</v>
      </c>
      <c r="C284" s="2">
        <v>44890.556886574072</v>
      </c>
      <c r="D284" s="2">
        <v>44890.559953703705</v>
      </c>
      <c r="E284" s="3">
        <f t="shared" si="12"/>
        <v>44890</v>
      </c>
      <c r="F284">
        <f t="shared" si="13"/>
        <v>11</v>
      </c>
      <c r="G284" s="4">
        <f t="shared" si="14"/>
        <v>4.4166666723322123</v>
      </c>
      <c r="H284">
        <f>IF(COUNTIFS(B$2:B284,B284,E$2:E284,E284)=1,1,0)</f>
        <v>0</v>
      </c>
      <c r="I284">
        <f>IF(COUNTIFS(B$2:B284,B284,F$2:F284,F284)=1,1,0)</f>
        <v>0</v>
      </c>
    </row>
    <row r="285" spans="1:9" x14ac:dyDescent="0.3">
      <c r="A285">
        <v>295</v>
      </c>
      <c r="B285">
        <v>36</v>
      </c>
      <c r="C285" s="2">
        <v>44890.647812499999</v>
      </c>
      <c r="D285" s="2">
        <v>44890.653136574074</v>
      </c>
      <c r="E285" s="3">
        <f t="shared" si="12"/>
        <v>44890</v>
      </c>
      <c r="F285">
        <f t="shared" si="13"/>
        <v>11</v>
      </c>
      <c r="G285" s="4">
        <f t="shared" si="14"/>
        <v>7.6666666672099382</v>
      </c>
      <c r="H285">
        <f>IF(COUNTIFS(B$2:B285,B285,E$2:E285,E285)=1,1,0)</f>
        <v>0</v>
      </c>
      <c r="I285">
        <f>IF(COUNTIFS(B$2:B285,B285,F$2:F285,F285)=1,1,0)</f>
        <v>0</v>
      </c>
    </row>
    <row r="286" spans="1:9" x14ac:dyDescent="0.3">
      <c r="A286">
        <v>296</v>
      </c>
      <c r="B286">
        <v>36</v>
      </c>
      <c r="C286" s="2">
        <v>44890.792824074073</v>
      </c>
      <c r="D286" s="2">
        <v>44890.803495370368</v>
      </c>
      <c r="E286" s="3">
        <f t="shared" si="12"/>
        <v>44890</v>
      </c>
      <c r="F286">
        <f t="shared" si="13"/>
        <v>11</v>
      </c>
      <c r="G286" s="4">
        <f t="shared" si="14"/>
        <v>15.366666665067896</v>
      </c>
      <c r="H286">
        <f>IF(COUNTIFS(B$2:B286,B286,E$2:E286,E286)=1,1,0)</f>
        <v>0</v>
      </c>
      <c r="I286">
        <f>IF(COUNTIFS(B$2:B286,B286,F$2:F286,F286)=1,1,0)</f>
        <v>0</v>
      </c>
    </row>
    <row r="287" spans="1:9" x14ac:dyDescent="0.3">
      <c r="A287">
        <v>297</v>
      </c>
      <c r="B287">
        <v>36</v>
      </c>
      <c r="C287" s="2">
        <v>44890.974652777775</v>
      </c>
      <c r="D287" s="2">
        <v>44890.976770833331</v>
      </c>
      <c r="E287" s="3">
        <f t="shared" si="12"/>
        <v>44890</v>
      </c>
      <c r="F287">
        <f t="shared" si="13"/>
        <v>11</v>
      </c>
      <c r="G287" s="4">
        <f t="shared" si="14"/>
        <v>3.0500000005122274</v>
      </c>
      <c r="H287">
        <f>IF(COUNTIFS(B$2:B287,B287,E$2:E287,E287)=1,1,0)</f>
        <v>0</v>
      </c>
      <c r="I287">
        <f>IF(COUNTIFS(B$2:B287,B287,F$2:F287,F287)=1,1,0)</f>
        <v>0</v>
      </c>
    </row>
    <row r="288" spans="1:9" x14ac:dyDescent="0.3">
      <c r="A288">
        <v>298</v>
      </c>
      <c r="B288">
        <v>36</v>
      </c>
      <c r="C288" s="2">
        <v>44891.192106481481</v>
      </c>
      <c r="D288" s="2">
        <v>44891.196250000001</v>
      </c>
      <c r="E288" s="3">
        <f t="shared" si="12"/>
        <v>44891</v>
      </c>
      <c r="F288">
        <f t="shared" si="13"/>
        <v>11</v>
      </c>
      <c r="G288" s="4">
        <f t="shared" si="14"/>
        <v>5.9666666679549962</v>
      </c>
      <c r="H288">
        <f>IF(COUNTIFS(B$2:B288,B288,E$2:E288,E288)=1,1,0)</f>
        <v>1</v>
      </c>
      <c r="I288">
        <f>IF(COUNTIFS(B$2:B288,B288,F$2:F288,F288)=1,1,0)</f>
        <v>0</v>
      </c>
    </row>
    <row r="289" spans="1:9" x14ac:dyDescent="0.3">
      <c r="A289">
        <v>299</v>
      </c>
      <c r="B289">
        <v>36</v>
      </c>
      <c r="C289" s="2">
        <v>44891.237650462965</v>
      </c>
      <c r="D289" s="2">
        <v>44891.241643518515</v>
      </c>
      <c r="E289" s="3">
        <f t="shared" si="12"/>
        <v>44891</v>
      </c>
      <c r="F289">
        <f t="shared" si="13"/>
        <v>11</v>
      </c>
      <c r="G289" s="4">
        <f t="shared" si="14"/>
        <v>5.7499999925494194</v>
      </c>
      <c r="H289">
        <f>IF(COUNTIFS(B$2:B289,B289,E$2:E289,E289)=1,1,0)</f>
        <v>0</v>
      </c>
      <c r="I289">
        <f>IF(COUNTIFS(B$2:B289,B289,F$2:F289,F289)=1,1,0)</f>
        <v>0</v>
      </c>
    </row>
    <row r="290" spans="1:9" x14ac:dyDescent="0.3">
      <c r="A290">
        <v>300</v>
      </c>
      <c r="B290">
        <v>36</v>
      </c>
      <c r="C290" s="2">
        <v>44891.582974537036</v>
      </c>
      <c r="D290" s="2">
        <v>44891.588599537034</v>
      </c>
      <c r="E290" s="3">
        <f t="shared" si="12"/>
        <v>44891</v>
      </c>
      <c r="F290">
        <f t="shared" si="13"/>
        <v>11</v>
      </c>
      <c r="G290" s="4">
        <f t="shared" si="14"/>
        <v>8.0999999970663339</v>
      </c>
      <c r="H290">
        <f>IF(COUNTIFS(B$2:B290,B290,E$2:E290,E290)=1,1,0)</f>
        <v>0</v>
      </c>
      <c r="I290">
        <f>IF(COUNTIFS(B$2:B290,B290,F$2:F290,F290)=1,1,0)</f>
        <v>0</v>
      </c>
    </row>
    <row r="291" spans="1:9" x14ac:dyDescent="0.3">
      <c r="A291">
        <v>301</v>
      </c>
      <c r="B291">
        <v>36</v>
      </c>
      <c r="C291" s="2">
        <v>44891.804965277777</v>
      </c>
      <c r="D291" s="2">
        <v>44891.814247685186</v>
      </c>
      <c r="E291" s="3">
        <f t="shared" si="12"/>
        <v>44891</v>
      </c>
      <c r="F291">
        <f t="shared" si="13"/>
        <v>11</v>
      </c>
      <c r="G291" s="4">
        <f t="shared" si="14"/>
        <v>13.366666669026017</v>
      </c>
      <c r="H291">
        <f>IF(COUNTIFS(B$2:B291,B291,E$2:E291,E291)=1,1,0)</f>
        <v>0</v>
      </c>
      <c r="I291">
        <f>IF(COUNTIFS(B$2:B291,B291,F$2:F291,F291)=1,1,0)</f>
        <v>0</v>
      </c>
    </row>
    <row r="292" spans="1:9" x14ac:dyDescent="0.3">
      <c r="A292">
        <v>302</v>
      </c>
      <c r="B292">
        <v>37</v>
      </c>
      <c r="C292" s="2">
        <v>44639.141793981478</v>
      </c>
      <c r="D292" s="2">
        <v>44639.145844907405</v>
      </c>
      <c r="E292" s="3">
        <f t="shared" si="12"/>
        <v>44639</v>
      </c>
      <c r="F292">
        <f t="shared" si="13"/>
        <v>3</v>
      </c>
      <c r="G292" s="4">
        <f t="shared" si="14"/>
        <v>5.8333333348855376</v>
      </c>
      <c r="H292">
        <f>IF(COUNTIFS(B$2:B292,B292,E$2:E292,E292)=1,1,0)</f>
        <v>1</v>
      </c>
      <c r="I292">
        <f>IF(COUNTIFS(B$2:B292,B292,F$2:F292,F292)=1,1,0)</f>
        <v>1</v>
      </c>
    </row>
    <row r="293" spans="1:9" x14ac:dyDescent="0.3">
      <c r="A293">
        <v>303</v>
      </c>
      <c r="B293">
        <v>38</v>
      </c>
      <c r="C293" s="2">
        <v>44667.615833333337</v>
      </c>
      <c r="D293" s="2">
        <v>44667.618703703702</v>
      </c>
      <c r="E293" s="3">
        <f t="shared" si="12"/>
        <v>44667</v>
      </c>
      <c r="F293">
        <f t="shared" si="13"/>
        <v>4</v>
      </c>
      <c r="G293" s="4">
        <f t="shared" si="14"/>
        <v>4.1333333251532167</v>
      </c>
      <c r="H293">
        <f>IF(COUNTIFS(B$2:B293,B293,E$2:E293,E293)=1,1,0)</f>
        <v>1</v>
      </c>
      <c r="I293">
        <f>IF(COUNTIFS(B$2:B293,B293,F$2:F293,F293)=1,1,0)</f>
        <v>1</v>
      </c>
    </row>
    <row r="294" spans="1:9" x14ac:dyDescent="0.3">
      <c r="A294">
        <v>304</v>
      </c>
      <c r="B294">
        <v>38</v>
      </c>
      <c r="C294" s="2">
        <v>44667.943703703706</v>
      </c>
      <c r="D294" s="2">
        <v>44667.945300925923</v>
      </c>
      <c r="E294" s="3">
        <f t="shared" si="12"/>
        <v>44667</v>
      </c>
      <c r="F294">
        <f t="shared" si="13"/>
        <v>4</v>
      </c>
      <c r="G294" s="4">
        <f t="shared" si="14"/>
        <v>2.2999999928288162</v>
      </c>
      <c r="H294">
        <f>IF(COUNTIFS(B$2:B294,B294,E$2:E294,E294)=1,1,0)</f>
        <v>0</v>
      </c>
      <c r="I294">
        <f>IF(COUNTIFS(B$2:B294,B294,F$2:F294,F294)=1,1,0)</f>
        <v>0</v>
      </c>
    </row>
    <row r="295" spans="1:9" x14ac:dyDescent="0.3">
      <c r="A295">
        <v>305</v>
      </c>
      <c r="B295">
        <v>38</v>
      </c>
      <c r="C295" s="2">
        <v>44668.272488425922</v>
      </c>
      <c r="D295" s="2">
        <v>44668.278263888889</v>
      </c>
      <c r="E295" s="3">
        <f t="shared" si="12"/>
        <v>44668</v>
      </c>
      <c r="F295">
        <f t="shared" si="13"/>
        <v>4</v>
      </c>
      <c r="G295" s="4">
        <f t="shared" si="14"/>
        <v>8.3166666724719107</v>
      </c>
      <c r="H295">
        <f>IF(COUNTIFS(B$2:B295,B295,E$2:E295,E295)=1,1,0)</f>
        <v>1</v>
      </c>
      <c r="I295">
        <f>IF(COUNTIFS(B$2:B295,B295,F$2:F295,F295)=1,1,0)</f>
        <v>0</v>
      </c>
    </row>
    <row r="296" spans="1:9" x14ac:dyDescent="0.3">
      <c r="A296">
        <v>306</v>
      </c>
      <c r="B296">
        <v>39</v>
      </c>
      <c r="C296" s="2">
        <v>44892.985277777778</v>
      </c>
      <c r="D296" s="2">
        <v>44892.986377314817</v>
      </c>
      <c r="E296" s="3">
        <f t="shared" si="12"/>
        <v>44892</v>
      </c>
      <c r="F296">
        <f t="shared" si="13"/>
        <v>11</v>
      </c>
      <c r="G296" s="4">
        <f t="shared" si="14"/>
        <v>1.5833333367481828</v>
      </c>
      <c r="H296">
        <f>IF(COUNTIFS(B$2:B296,B296,E$2:E296,E296)=1,1,0)</f>
        <v>1</v>
      </c>
      <c r="I296">
        <f>IF(COUNTIFS(B$2:B296,B296,F$2:F296,F296)=1,1,0)</f>
        <v>1</v>
      </c>
    </row>
    <row r="297" spans="1:9" x14ac:dyDescent="0.3">
      <c r="A297">
        <v>307</v>
      </c>
      <c r="B297">
        <v>40</v>
      </c>
      <c r="C297" s="2">
        <v>44603.573240740741</v>
      </c>
      <c r="D297" s="2">
        <v>44603.582245370373</v>
      </c>
      <c r="E297" s="3">
        <f t="shared" si="12"/>
        <v>44603</v>
      </c>
      <c r="F297">
        <f t="shared" si="13"/>
        <v>2</v>
      </c>
      <c r="G297" s="4">
        <f t="shared" si="14"/>
        <v>12.966666669817641</v>
      </c>
      <c r="H297">
        <f>IF(COUNTIFS(B$2:B297,B297,E$2:E297,E297)=1,1,0)</f>
        <v>1</v>
      </c>
      <c r="I297">
        <f>IF(COUNTIFS(B$2:B297,B297,F$2:F297,F297)=1,1,0)</f>
        <v>1</v>
      </c>
    </row>
    <row r="298" spans="1:9" x14ac:dyDescent="0.3">
      <c r="A298">
        <v>308</v>
      </c>
      <c r="B298">
        <v>40</v>
      </c>
      <c r="C298" s="2">
        <v>44603.916562500002</v>
      </c>
      <c r="D298" s="2">
        <v>44603.921574074076</v>
      </c>
      <c r="E298" s="3">
        <f t="shared" si="12"/>
        <v>44603</v>
      </c>
      <c r="F298">
        <f t="shared" si="13"/>
        <v>2</v>
      </c>
      <c r="G298" s="4">
        <f t="shared" si="14"/>
        <v>7.216666666790843</v>
      </c>
      <c r="H298">
        <f>IF(COUNTIFS(B$2:B298,B298,E$2:E298,E298)=1,1,0)</f>
        <v>0</v>
      </c>
      <c r="I298">
        <f>IF(COUNTIFS(B$2:B298,B298,F$2:F298,F298)=1,1,0)</f>
        <v>0</v>
      </c>
    </row>
    <row r="299" spans="1:9" x14ac:dyDescent="0.3">
      <c r="A299">
        <v>309</v>
      </c>
      <c r="B299">
        <v>40</v>
      </c>
      <c r="C299" s="2">
        <v>44604.039409722223</v>
      </c>
      <c r="D299" s="2">
        <v>44604.047418981485</v>
      </c>
      <c r="E299" s="3">
        <f t="shared" si="12"/>
        <v>44604</v>
      </c>
      <c r="F299">
        <f t="shared" si="13"/>
        <v>2</v>
      </c>
      <c r="G299" s="4">
        <f t="shared" si="14"/>
        <v>11.533333336701617</v>
      </c>
      <c r="H299">
        <f>IF(COUNTIFS(B$2:B299,B299,E$2:E299,E299)=1,1,0)</f>
        <v>1</v>
      </c>
      <c r="I299">
        <f>IF(COUNTIFS(B$2:B299,B299,F$2:F299,F299)=1,1,0)</f>
        <v>0</v>
      </c>
    </row>
    <row r="300" spans="1:9" x14ac:dyDescent="0.3">
      <c r="A300">
        <v>310</v>
      </c>
      <c r="B300">
        <v>40</v>
      </c>
      <c r="C300" s="2">
        <v>44604.384016203701</v>
      </c>
      <c r="D300" s="2">
        <v>44604.386331018519</v>
      </c>
      <c r="E300" s="3">
        <f t="shared" si="12"/>
        <v>44604</v>
      </c>
      <c r="F300">
        <f t="shared" si="13"/>
        <v>2</v>
      </c>
      <c r="G300" s="4">
        <f t="shared" si="14"/>
        <v>3.3333333372138441</v>
      </c>
      <c r="H300">
        <f>IF(COUNTIFS(B$2:B300,B300,E$2:E300,E300)=1,1,0)</f>
        <v>0</v>
      </c>
      <c r="I300">
        <f>IF(COUNTIFS(B$2:B300,B300,F$2:F300,F300)=1,1,0)</f>
        <v>0</v>
      </c>
    </row>
    <row r="301" spans="1:9" x14ac:dyDescent="0.3">
      <c r="A301">
        <v>311</v>
      </c>
      <c r="B301">
        <v>40</v>
      </c>
      <c r="C301" s="2">
        <v>44604.576909722222</v>
      </c>
      <c r="D301" s="2">
        <v>44604.585902777777</v>
      </c>
      <c r="E301" s="3">
        <f t="shared" si="12"/>
        <v>44604</v>
      </c>
      <c r="F301">
        <f t="shared" si="13"/>
        <v>2</v>
      </c>
      <c r="G301" s="4">
        <f t="shared" si="14"/>
        <v>12.949999999254942</v>
      </c>
      <c r="H301">
        <f>IF(COUNTIFS(B$2:B301,B301,E$2:E301,E301)=1,1,0)</f>
        <v>0</v>
      </c>
      <c r="I301">
        <f>IF(COUNTIFS(B$2:B301,B301,F$2:F301,F301)=1,1,0)</f>
        <v>0</v>
      </c>
    </row>
    <row r="302" spans="1:9" x14ac:dyDescent="0.3">
      <c r="A302">
        <v>312</v>
      </c>
      <c r="B302">
        <v>41</v>
      </c>
      <c r="C302" s="2">
        <v>44678.185902777775</v>
      </c>
      <c r="D302" s="2">
        <v>44678.193159722221</v>
      </c>
      <c r="E302" s="3">
        <f t="shared" si="12"/>
        <v>44678</v>
      </c>
      <c r="F302">
        <f t="shared" si="13"/>
        <v>4</v>
      </c>
      <c r="G302" s="4">
        <f t="shared" si="14"/>
        <v>10.450000001583248</v>
      </c>
      <c r="H302">
        <f>IF(COUNTIFS(B$2:B302,B302,E$2:E302,E302)=1,1,0)</f>
        <v>1</v>
      </c>
      <c r="I302">
        <f>IF(COUNTIFS(B$2:B302,B302,F$2:F302,F302)=1,1,0)</f>
        <v>1</v>
      </c>
    </row>
    <row r="303" spans="1:9" x14ac:dyDescent="0.3">
      <c r="A303">
        <v>313</v>
      </c>
      <c r="B303">
        <v>41</v>
      </c>
      <c r="C303" s="2">
        <v>44678.482789351852</v>
      </c>
      <c r="D303" s="2">
        <v>44678.487708333334</v>
      </c>
      <c r="E303" s="3">
        <f t="shared" si="12"/>
        <v>44678</v>
      </c>
      <c r="F303">
        <f t="shared" si="13"/>
        <v>4</v>
      </c>
      <c r="G303" s="4">
        <f t="shared" si="14"/>
        <v>7.0833333337213844</v>
      </c>
      <c r="H303">
        <f>IF(COUNTIFS(B$2:B303,B303,E$2:E303,E303)=1,1,0)</f>
        <v>0</v>
      </c>
      <c r="I303">
        <f>IF(COUNTIFS(B$2:B303,B303,F$2:F303,F303)=1,1,0)</f>
        <v>0</v>
      </c>
    </row>
    <row r="304" spans="1:9" x14ac:dyDescent="0.3">
      <c r="A304">
        <v>314</v>
      </c>
      <c r="B304">
        <v>41</v>
      </c>
      <c r="C304" s="2">
        <v>44678.619976851849</v>
      </c>
      <c r="D304" s="2">
        <v>44678.622453703705</v>
      </c>
      <c r="E304" s="3">
        <f t="shared" si="12"/>
        <v>44678</v>
      </c>
      <c r="F304">
        <f t="shared" si="13"/>
        <v>4</v>
      </c>
      <c r="G304" s="4">
        <f t="shared" si="14"/>
        <v>3.5666666727047414</v>
      </c>
      <c r="H304">
        <f>IF(COUNTIFS(B$2:B304,B304,E$2:E304,E304)=1,1,0)</f>
        <v>0</v>
      </c>
      <c r="I304">
        <f>IF(COUNTIFS(B$2:B304,B304,F$2:F304,F304)=1,1,0)</f>
        <v>0</v>
      </c>
    </row>
    <row r="305" spans="1:9" x14ac:dyDescent="0.3">
      <c r="A305">
        <v>315</v>
      </c>
      <c r="B305">
        <v>42</v>
      </c>
      <c r="C305" s="2">
        <v>44645.813136574077</v>
      </c>
      <c r="D305" s="2">
        <v>44645.817812499998</v>
      </c>
      <c r="E305" s="3">
        <f t="shared" si="12"/>
        <v>44645</v>
      </c>
      <c r="F305">
        <f t="shared" si="13"/>
        <v>3</v>
      </c>
      <c r="G305" s="4">
        <f t="shared" si="14"/>
        <v>6.733333325246349</v>
      </c>
      <c r="H305">
        <f>IF(COUNTIFS(B$2:B305,B305,E$2:E305,E305)=1,1,0)</f>
        <v>1</v>
      </c>
      <c r="I305">
        <f>IF(COUNTIFS(B$2:B305,B305,F$2:F305,F305)=1,1,0)</f>
        <v>1</v>
      </c>
    </row>
    <row r="306" spans="1:9" x14ac:dyDescent="0.3">
      <c r="A306">
        <v>316</v>
      </c>
      <c r="B306">
        <v>42</v>
      </c>
      <c r="C306" s="2">
        <v>44646.146840277775</v>
      </c>
      <c r="D306" s="2">
        <v>44646.151747685188</v>
      </c>
      <c r="E306" s="3">
        <f t="shared" si="12"/>
        <v>44646</v>
      </c>
      <c r="F306">
        <f t="shared" si="13"/>
        <v>3</v>
      </c>
      <c r="G306" s="4">
        <f t="shared" si="14"/>
        <v>7.0666666736360639</v>
      </c>
      <c r="H306">
        <f>IF(COUNTIFS(B$2:B306,B306,E$2:E306,E306)=1,1,0)</f>
        <v>1</v>
      </c>
      <c r="I306">
        <f>IF(COUNTIFS(B$2:B306,B306,F$2:F306,F306)=1,1,0)</f>
        <v>0</v>
      </c>
    </row>
    <row r="307" spans="1:9" x14ac:dyDescent="0.3">
      <c r="A307">
        <v>317</v>
      </c>
      <c r="B307">
        <v>42</v>
      </c>
      <c r="C307" s="2">
        <v>44646.458796296298</v>
      </c>
      <c r="D307" s="2">
        <v>44646.462060185186</v>
      </c>
      <c r="E307" s="3">
        <f t="shared" si="12"/>
        <v>44646</v>
      </c>
      <c r="F307">
        <f t="shared" si="13"/>
        <v>3</v>
      </c>
      <c r="G307" s="4">
        <f t="shared" si="14"/>
        <v>4.69999999855645</v>
      </c>
      <c r="H307">
        <f>IF(COUNTIFS(B$2:B307,B307,E$2:E307,E307)=1,1,0)</f>
        <v>0</v>
      </c>
      <c r="I307">
        <f>IF(COUNTIFS(B$2:B307,B307,F$2:F307,F307)=1,1,0)</f>
        <v>0</v>
      </c>
    </row>
    <row r="308" spans="1:9" x14ac:dyDescent="0.3">
      <c r="A308">
        <v>318</v>
      </c>
      <c r="B308">
        <v>42</v>
      </c>
      <c r="C308" s="2">
        <v>44646.727256944447</v>
      </c>
      <c r="D308" s="2">
        <v>44646.733206018522</v>
      </c>
      <c r="E308" s="3">
        <f t="shared" si="12"/>
        <v>44646</v>
      </c>
      <c r="F308">
        <f t="shared" si="13"/>
        <v>3</v>
      </c>
      <c r="G308" s="4">
        <f t="shared" si="14"/>
        <v>8.5666666680481285</v>
      </c>
      <c r="H308">
        <f>IF(COUNTIFS(B$2:B308,B308,E$2:E308,E308)=1,1,0)</f>
        <v>0</v>
      </c>
      <c r="I308">
        <f>IF(COUNTIFS(B$2:B308,B308,F$2:F308,F308)=1,1,0)</f>
        <v>0</v>
      </c>
    </row>
    <row r="309" spans="1:9" x14ac:dyDescent="0.3">
      <c r="A309">
        <v>319</v>
      </c>
      <c r="B309">
        <v>43</v>
      </c>
      <c r="C309" s="2">
        <v>44850.507048611114</v>
      </c>
      <c r="D309" s="2">
        <v>44850.513518518521</v>
      </c>
      <c r="E309" s="3">
        <f t="shared" si="12"/>
        <v>44850</v>
      </c>
      <c r="F309">
        <f t="shared" si="13"/>
        <v>10</v>
      </c>
      <c r="G309" s="4">
        <f t="shared" si="14"/>
        <v>9.3166666652541608</v>
      </c>
      <c r="H309">
        <f>IF(COUNTIFS(B$2:B309,B309,E$2:E309,E309)=1,1,0)</f>
        <v>1</v>
      </c>
      <c r="I309">
        <f>IF(COUNTIFS(B$2:B309,B309,F$2:F309,F309)=1,1,0)</f>
        <v>1</v>
      </c>
    </row>
    <row r="310" spans="1:9" x14ac:dyDescent="0.3">
      <c r="A310">
        <v>320</v>
      </c>
      <c r="B310">
        <v>43</v>
      </c>
      <c r="C310" s="2">
        <v>44850.647453703707</v>
      </c>
      <c r="D310" s="2">
        <v>44850.651423611111</v>
      </c>
      <c r="E310" s="3">
        <f t="shared" si="12"/>
        <v>44850</v>
      </c>
      <c r="F310">
        <f t="shared" si="13"/>
        <v>10</v>
      </c>
      <c r="G310" s="4">
        <f t="shared" si="14"/>
        <v>5.7166666619013995</v>
      </c>
      <c r="H310">
        <f>IF(COUNTIFS(B$2:B310,B310,E$2:E310,E310)=1,1,0)</f>
        <v>0</v>
      </c>
      <c r="I310">
        <f>IF(COUNTIFS(B$2:B310,B310,F$2:F310,F310)=1,1,0)</f>
        <v>0</v>
      </c>
    </row>
    <row r="311" spans="1:9" x14ac:dyDescent="0.3">
      <c r="A311">
        <v>321</v>
      </c>
      <c r="B311">
        <v>43</v>
      </c>
      <c r="C311" s="2">
        <v>44850.903715277775</v>
      </c>
      <c r="D311" s="2">
        <v>44850.911435185182</v>
      </c>
      <c r="E311" s="3">
        <f t="shared" si="12"/>
        <v>44850</v>
      </c>
      <c r="F311">
        <f t="shared" si="13"/>
        <v>10</v>
      </c>
      <c r="G311" s="4">
        <f t="shared" si="14"/>
        <v>11.116666666930541</v>
      </c>
      <c r="H311">
        <f>IF(COUNTIFS(B$2:B311,B311,E$2:E311,E311)=1,1,0)</f>
        <v>0</v>
      </c>
      <c r="I311">
        <f>IF(COUNTIFS(B$2:B311,B311,F$2:F311,F311)=1,1,0)</f>
        <v>0</v>
      </c>
    </row>
    <row r="312" spans="1:9" x14ac:dyDescent="0.3">
      <c r="A312">
        <v>322</v>
      </c>
      <c r="B312">
        <v>43</v>
      </c>
      <c r="C312" s="2">
        <v>44851.241828703707</v>
      </c>
      <c r="D312" s="2">
        <v>44851.252430555556</v>
      </c>
      <c r="E312" s="3">
        <f t="shared" si="12"/>
        <v>44851</v>
      </c>
      <c r="F312">
        <f t="shared" si="13"/>
        <v>10</v>
      </c>
      <c r="G312" s="4">
        <f t="shared" si="14"/>
        <v>15.266666662646458</v>
      </c>
      <c r="H312">
        <f>IF(COUNTIFS(B$2:B312,B312,E$2:E312,E312)=1,1,0)</f>
        <v>1</v>
      </c>
      <c r="I312">
        <f>IF(COUNTIFS(B$2:B312,B312,F$2:F312,F312)=1,1,0)</f>
        <v>0</v>
      </c>
    </row>
    <row r="313" spans="1:9" x14ac:dyDescent="0.3">
      <c r="A313">
        <v>323</v>
      </c>
      <c r="B313">
        <v>43</v>
      </c>
      <c r="C313" s="2">
        <v>44851.534699074073</v>
      </c>
      <c r="D313" s="2">
        <v>44851.540752314817</v>
      </c>
      <c r="E313" s="3">
        <f t="shared" si="12"/>
        <v>44851</v>
      </c>
      <c r="F313">
        <f t="shared" si="13"/>
        <v>10</v>
      </c>
      <c r="G313" s="4">
        <f t="shared" si="14"/>
        <v>8.7166666716802865</v>
      </c>
      <c r="H313">
        <f>IF(COUNTIFS(B$2:B313,B313,E$2:E313,E313)=1,1,0)</f>
        <v>0</v>
      </c>
      <c r="I313">
        <f>IF(COUNTIFS(B$2:B313,B313,F$2:F313,F313)=1,1,0)</f>
        <v>0</v>
      </c>
    </row>
    <row r="314" spans="1:9" x14ac:dyDescent="0.3">
      <c r="A314">
        <v>324</v>
      </c>
      <c r="B314">
        <v>43</v>
      </c>
      <c r="C314" s="2">
        <v>44851.651076388887</v>
      </c>
      <c r="D314" s="2">
        <v>44851.656921296293</v>
      </c>
      <c r="E314" s="3">
        <f t="shared" si="12"/>
        <v>44851</v>
      </c>
      <c r="F314">
        <f t="shared" si="13"/>
        <v>10</v>
      </c>
      <c r="G314" s="4">
        <f t="shared" si="14"/>
        <v>8.4166666644159704</v>
      </c>
      <c r="H314">
        <f>IF(COUNTIFS(B$2:B314,B314,E$2:E314,E314)=1,1,0)</f>
        <v>0</v>
      </c>
      <c r="I314">
        <f>IF(COUNTIFS(B$2:B314,B314,F$2:F314,F314)=1,1,0)</f>
        <v>0</v>
      </c>
    </row>
    <row r="315" spans="1:9" x14ac:dyDescent="0.3">
      <c r="A315">
        <v>325</v>
      </c>
      <c r="B315">
        <v>43</v>
      </c>
      <c r="C315" s="2">
        <v>44851.966400462959</v>
      </c>
      <c r="D315" s="2">
        <v>44851.970567129632</v>
      </c>
      <c r="E315" s="3">
        <f t="shared" si="12"/>
        <v>44851</v>
      </c>
      <c r="F315">
        <f t="shared" si="13"/>
        <v>10</v>
      </c>
      <c r="G315" s="4">
        <f t="shared" si="14"/>
        <v>6.0000000090803951</v>
      </c>
      <c r="H315">
        <f>IF(COUNTIFS(B$2:B315,B315,E$2:E315,E315)=1,1,0)</f>
        <v>0</v>
      </c>
      <c r="I315">
        <f>IF(COUNTIFS(B$2:B315,B315,F$2:F315,F315)=1,1,0)</f>
        <v>0</v>
      </c>
    </row>
    <row r="316" spans="1:9" x14ac:dyDescent="0.3">
      <c r="A316">
        <v>326</v>
      </c>
      <c r="B316">
        <v>43</v>
      </c>
      <c r="C316" s="2">
        <v>44852.273530092592</v>
      </c>
      <c r="D316" s="2">
        <v>44852.274826388886</v>
      </c>
      <c r="E316" s="3">
        <f t="shared" si="12"/>
        <v>44852</v>
      </c>
      <c r="F316">
        <f t="shared" si="13"/>
        <v>10</v>
      </c>
      <c r="G316" s="4">
        <f t="shared" si="14"/>
        <v>1.8666666629724205</v>
      </c>
      <c r="H316">
        <f>IF(COUNTIFS(B$2:B316,B316,E$2:E316,E316)=1,1,0)</f>
        <v>1</v>
      </c>
      <c r="I316">
        <f>IF(COUNTIFS(B$2:B316,B316,F$2:F316,F316)=1,1,0)</f>
        <v>0</v>
      </c>
    </row>
    <row r="317" spans="1:9" x14ac:dyDescent="0.3">
      <c r="A317">
        <v>327</v>
      </c>
      <c r="B317">
        <v>43</v>
      </c>
      <c r="C317" s="2">
        <v>44852.609861111108</v>
      </c>
      <c r="D317" s="2">
        <v>44852.616608796299</v>
      </c>
      <c r="E317" s="3">
        <f t="shared" si="12"/>
        <v>44852</v>
      </c>
      <c r="F317">
        <f t="shared" si="13"/>
        <v>10</v>
      </c>
      <c r="G317" s="4">
        <f t="shared" si="14"/>
        <v>9.7166666749399155</v>
      </c>
      <c r="H317">
        <f>IF(COUNTIFS(B$2:B317,B317,E$2:E317,E317)=1,1,0)</f>
        <v>0</v>
      </c>
      <c r="I317">
        <f>IF(COUNTIFS(B$2:B317,B317,F$2:F317,F317)=1,1,0)</f>
        <v>0</v>
      </c>
    </row>
    <row r="318" spans="1:9" x14ac:dyDescent="0.3">
      <c r="A318">
        <v>328</v>
      </c>
      <c r="B318">
        <v>43</v>
      </c>
      <c r="C318" s="2">
        <v>44852.805960648147</v>
      </c>
      <c r="D318" s="2">
        <v>44852.813379629632</v>
      </c>
      <c r="E318" s="3">
        <f t="shared" si="12"/>
        <v>44852</v>
      </c>
      <c r="F318">
        <f t="shared" si="13"/>
        <v>10</v>
      </c>
      <c r="G318" s="4">
        <f t="shared" si="14"/>
        <v>10.683333337074146</v>
      </c>
      <c r="H318">
        <f>IF(COUNTIFS(B$2:B318,B318,E$2:E318,E318)=1,1,0)</f>
        <v>0</v>
      </c>
      <c r="I318">
        <f>IF(COUNTIFS(B$2:B318,B318,F$2:F318,F318)=1,1,0)</f>
        <v>0</v>
      </c>
    </row>
    <row r="319" spans="1:9" x14ac:dyDescent="0.3">
      <c r="A319">
        <v>329</v>
      </c>
      <c r="B319">
        <v>43</v>
      </c>
      <c r="C319" s="2">
        <v>44853.101423611108</v>
      </c>
      <c r="D319" s="2">
        <v>44853.11010416667</v>
      </c>
      <c r="E319" s="3">
        <f t="shared" si="12"/>
        <v>44853</v>
      </c>
      <c r="F319">
        <f t="shared" si="13"/>
        <v>10</v>
      </c>
      <c r="G319" s="4">
        <f t="shared" si="14"/>
        <v>12.500000009313226</v>
      </c>
      <c r="H319">
        <f>IF(COUNTIFS(B$2:B319,B319,E$2:E319,E319)=1,1,0)</f>
        <v>1</v>
      </c>
      <c r="I319">
        <f>IF(COUNTIFS(B$2:B319,B319,F$2:F319,F319)=1,1,0)</f>
        <v>0</v>
      </c>
    </row>
    <row r="320" spans="1:9" x14ac:dyDescent="0.3">
      <c r="A320">
        <v>330</v>
      </c>
      <c r="B320">
        <v>43</v>
      </c>
      <c r="C320" s="2">
        <v>44853.384074074071</v>
      </c>
      <c r="D320" s="2">
        <v>44853.391724537039</v>
      </c>
      <c r="E320" s="3">
        <f t="shared" si="12"/>
        <v>44853</v>
      </c>
      <c r="F320">
        <f t="shared" si="13"/>
        <v>10</v>
      </c>
      <c r="G320" s="4">
        <f t="shared" si="14"/>
        <v>11.016666674986482</v>
      </c>
      <c r="H320">
        <f>IF(COUNTIFS(B$2:B320,B320,E$2:E320,E320)=1,1,0)</f>
        <v>0</v>
      </c>
      <c r="I320">
        <f>IF(COUNTIFS(B$2:B320,B320,F$2:F320,F320)=1,1,0)</f>
        <v>0</v>
      </c>
    </row>
    <row r="321" spans="1:9" x14ac:dyDescent="0.3">
      <c r="A321">
        <v>331</v>
      </c>
      <c r="B321">
        <v>43</v>
      </c>
      <c r="C321" s="2">
        <v>44853.506874999999</v>
      </c>
      <c r="D321" s="2">
        <v>44853.517106481479</v>
      </c>
      <c r="E321" s="3">
        <f t="shared" si="12"/>
        <v>44853</v>
      </c>
      <c r="F321">
        <f t="shared" si="13"/>
        <v>10</v>
      </c>
      <c r="G321" s="4">
        <f t="shared" si="14"/>
        <v>14.733333330368623</v>
      </c>
      <c r="H321">
        <f>IF(COUNTIFS(B$2:B321,B321,E$2:E321,E321)=1,1,0)</f>
        <v>0</v>
      </c>
      <c r="I321">
        <f>IF(COUNTIFS(B$2:B321,B321,F$2:F321,F321)=1,1,0)</f>
        <v>0</v>
      </c>
    </row>
    <row r="322" spans="1:9" x14ac:dyDescent="0.3">
      <c r="A322">
        <v>332</v>
      </c>
      <c r="B322">
        <v>43</v>
      </c>
      <c r="C322" s="2">
        <v>44853.841319444444</v>
      </c>
      <c r="D322" s="2">
        <v>44853.845312500001</v>
      </c>
      <c r="E322" s="3">
        <f t="shared" ref="E322:E385" si="15">INT(C322)</f>
        <v>44853</v>
      </c>
      <c r="F322">
        <f t="shared" ref="F322:F385" si="16">MONTH(C322)</f>
        <v>10</v>
      </c>
      <c r="G322" s="4">
        <f t="shared" ref="G322:G385" si="17">(D322-C322)*1440</f>
        <v>5.7500000030267984</v>
      </c>
      <c r="H322">
        <f>IF(COUNTIFS(B$2:B322,B322,E$2:E322,E322)=1,1,0)</f>
        <v>0</v>
      </c>
      <c r="I322">
        <f>IF(COUNTIFS(B$2:B322,B322,F$2:F322,F322)=1,1,0)</f>
        <v>0</v>
      </c>
    </row>
    <row r="323" spans="1:9" x14ac:dyDescent="0.3">
      <c r="A323">
        <v>333</v>
      </c>
      <c r="B323">
        <v>43</v>
      </c>
      <c r="C323" s="2">
        <v>44854.029166666667</v>
      </c>
      <c r="D323" s="2">
        <v>44854.03434027778</v>
      </c>
      <c r="E323" s="3">
        <f t="shared" si="15"/>
        <v>44854</v>
      </c>
      <c r="F323">
        <f t="shared" si="16"/>
        <v>10</v>
      </c>
      <c r="G323" s="4">
        <f t="shared" si="17"/>
        <v>7.4500000022817403</v>
      </c>
      <c r="H323">
        <f>IF(COUNTIFS(B$2:B323,B323,E$2:E323,E323)=1,1,0)</f>
        <v>1</v>
      </c>
      <c r="I323">
        <f>IF(COUNTIFS(B$2:B323,B323,F$2:F323,F323)=1,1,0)</f>
        <v>0</v>
      </c>
    </row>
    <row r="324" spans="1:9" x14ac:dyDescent="0.3">
      <c r="A324">
        <v>334</v>
      </c>
      <c r="B324">
        <v>43</v>
      </c>
      <c r="C324" s="2">
        <v>44854.088009259256</v>
      </c>
      <c r="D324" s="2">
        <v>44854.091956018521</v>
      </c>
      <c r="E324" s="3">
        <f t="shared" si="15"/>
        <v>44854</v>
      </c>
      <c r="F324">
        <f t="shared" si="16"/>
        <v>10</v>
      </c>
      <c r="G324" s="4">
        <f t="shared" si="17"/>
        <v>5.6833333417307585</v>
      </c>
      <c r="H324">
        <f>IF(COUNTIFS(B$2:B324,B324,E$2:E324,E324)=1,1,0)</f>
        <v>0</v>
      </c>
      <c r="I324">
        <f>IF(COUNTIFS(B$2:B324,B324,F$2:F324,F324)=1,1,0)</f>
        <v>0</v>
      </c>
    </row>
    <row r="325" spans="1:9" x14ac:dyDescent="0.3">
      <c r="A325">
        <v>335</v>
      </c>
      <c r="B325">
        <v>43</v>
      </c>
      <c r="C325" s="2">
        <v>44854.249236111114</v>
      </c>
      <c r="D325" s="2">
        <v>44854.255428240744</v>
      </c>
      <c r="E325" s="3">
        <f t="shared" si="15"/>
        <v>44854</v>
      </c>
      <c r="F325">
        <f t="shared" si="16"/>
        <v>10</v>
      </c>
      <c r="G325" s="4">
        <f t="shared" si="17"/>
        <v>8.916666666045785</v>
      </c>
      <c r="H325">
        <f>IF(COUNTIFS(B$2:B325,B325,E$2:E325,E325)=1,1,0)</f>
        <v>0</v>
      </c>
      <c r="I325">
        <f>IF(COUNTIFS(B$2:B325,B325,F$2:F325,F325)=1,1,0)</f>
        <v>0</v>
      </c>
    </row>
    <row r="326" spans="1:9" x14ac:dyDescent="0.3">
      <c r="A326">
        <v>336</v>
      </c>
      <c r="B326">
        <v>43</v>
      </c>
      <c r="C326" s="2">
        <v>44854.420162037037</v>
      </c>
      <c r="D326" s="2">
        <v>44854.423136574071</v>
      </c>
      <c r="E326" s="3">
        <f t="shared" si="15"/>
        <v>44854</v>
      </c>
      <c r="F326">
        <f t="shared" si="16"/>
        <v>10</v>
      </c>
      <c r="G326" s="4">
        <f t="shared" si="17"/>
        <v>4.2833333287853748</v>
      </c>
      <c r="H326">
        <f>IF(COUNTIFS(B$2:B326,B326,E$2:E326,E326)=1,1,0)</f>
        <v>0</v>
      </c>
      <c r="I326">
        <f>IF(COUNTIFS(B$2:B326,B326,F$2:F326,F326)=1,1,0)</f>
        <v>0</v>
      </c>
    </row>
    <row r="327" spans="1:9" x14ac:dyDescent="0.3">
      <c r="A327">
        <v>337</v>
      </c>
      <c r="B327">
        <v>43</v>
      </c>
      <c r="C327" s="2">
        <v>44854.689606481479</v>
      </c>
      <c r="D327" s="2">
        <v>44854.693738425929</v>
      </c>
      <c r="E327" s="3">
        <f t="shared" si="15"/>
        <v>44854</v>
      </c>
      <c r="F327">
        <f t="shared" si="16"/>
        <v>10</v>
      </c>
      <c r="G327" s="4">
        <f t="shared" si="17"/>
        <v>5.9500000078696758</v>
      </c>
      <c r="H327">
        <f>IF(COUNTIFS(B$2:B327,B327,E$2:E327,E327)=1,1,0)</f>
        <v>0</v>
      </c>
      <c r="I327">
        <f>IF(COUNTIFS(B$2:B327,B327,F$2:F327,F327)=1,1,0)</f>
        <v>0</v>
      </c>
    </row>
    <row r="328" spans="1:9" x14ac:dyDescent="0.3">
      <c r="A328">
        <v>338</v>
      </c>
      <c r="B328">
        <v>43</v>
      </c>
      <c r="C328" s="2">
        <v>44855.014675925922</v>
      </c>
      <c r="D328" s="2">
        <v>44855.019652777781</v>
      </c>
      <c r="E328" s="3">
        <f t="shared" si="15"/>
        <v>44855</v>
      </c>
      <c r="F328">
        <f t="shared" si="16"/>
        <v>10</v>
      </c>
      <c r="G328" s="4">
        <f t="shared" si="17"/>
        <v>7.1666666760575026</v>
      </c>
      <c r="H328">
        <f>IF(COUNTIFS(B$2:B328,B328,E$2:E328,E328)=1,1,0)</f>
        <v>1</v>
      </c>
      <c r="I328">
        <f>IF(COUNTIFS(B$2:B328,B328,F$2:F328,F328)=1,1,0)</f>
        <v>0</v>
      </c>
    </row>
    <row r="329" spans="1:9" x14ac:dyDescent="0.3">
      <c r="A329">
        <v>339</v>
      </c>
      <c r="B329">
        <v>43</v>
      </c>
      <c r="C329" s="2">
        <v>44855.305775462963</v>
      </c>
      <c r="D329" s="2">
        <v>44855.311307870368</v>
      </c>
      <c r="E329" s="3">
        <f t="shared" si="15"/>
        <v>44855</v>
      </c>
      <c r="F329">
        <f t="shared" si="16"/>
        <v>10</v>
      </c>
      <c r="G329" s="4">
        <f t="shared" si="17"/>
        <v>7.9666666639968753</v>
      </c>
      <c r="H329">
        <f>IF(COUNTIFS(B$2:B329,B329,E$2:E329,E329)=1,1,0)</f>
        <v>0</v>
      </c>
      <c r="I329">
        <f>IF(COUNTIFS(B$2:B329,B329,F$2:F329,F329)=1,1,0)</f>
        <v>0</v>
      </c>
    </row>
    <row r="330" spans="1:9" x14ac:dyDescent="0.3">
      <c r="A330">
        <v>340</v>
      </c>
      <c r="B330">
        <v>43</v>
      </c>
      <c r="C330" s="2">
        <v>44855.476782407408</v>
      </c>
      <c r="D330" s="2">
        <v>44855.484525462962</v>
      </c>
      <c r="E330" s="3">
        <f t="shared" si="15"/>
        <v>44855</v>
      </c>
      <c r="F330">
        <f t="shared" si="16"/>
        <v>10</v>
      </c>
      <c r="G330" s="4">
        <f t="shared" si="17"/>
        <v>11.149999997578561</v>
      </c>
      <c r="H330">
        <f>IF(COUNTIFS(B$2:B330,B330,E$2:E330,E330)=1,1,0)</f>
        <v>0</v>
      </c>
      <c r="I330">
        <f>IF(COUNTIFS(B$2:B330,B330,F$2:F330,F330)=1,1,0)</f>
        <v>0</v>
      </c>
    </row>
    <row r="331" spans="1:9" x14ac:dyDescent="0.3">
      <c r="A331">
        <v>341</v>
      </c>
      <c r="B331">
        <v>43</v>
      </c>
      <c r="C331" s="2">
        <v>44855.668946759259</v>
      </c>
      <c r="D331" s="2">
        <v>44855.67083333333</v>
      </c>
      <c r="E331" s="3">
        <f t="shared" si="15"/>
        <v>44855</v>
      </c>
      <c r="F331">
        <f t="shared" si="16"/>
        <v>10</v>
      </c>
      <c r="G331" s="4">
        <f t="shared" si="17"/>
        <v>2.7166666625998914</v>
      </c>
      <c r="H331">
        <f>IF(COUNTIFS(B$2:B331,B331,E$2:E331,E331)=1,1,0)</f>
        <v>0</v>
      </c>
      <c r="I331">
        <f>IF(COUNTIFS(B$2:B331,B331,F$2:F331,F331)=1,1,0)</f>
        <v>0</v>
      </c>
    </row>
    <row r="332" spans="1:9" x14ac:dyDescent="0.3">
      <c r="A332">
        <v>342</v>
      </c>
      <c r="B332">
        <v>43</v>
      </c>
      <c r="C332" s="2">
        <v>44855.863645833335</v>
      </c>
      <c r="D332" s="2">
        <v>44855.869189814817</v>
      </c>
      <c r="E332" s="3">
        <f t="shared" si="15"/>
        <v>44855</v>
      </c>
      <c r="F332">
        <f t="shared" si="16"/>
        <v>10</v>
      </c>
      <c r="G332" s="4">
        <f t="shared" si="17"/>
        <v>7.9833333345595747</v>
      </c>
      <c r="H332">
        <f>IF(COUNTIFS(B$2:B332,B332,E$2:E332,E332)=1,1,0)</f>
        <v>0</v>
      </c>
      <c r="I332">
        <f>IF(COUNTIFS(B$2:B332,B332,F$2:F332,F332)=1,1,0)</f>
        <v>0</v>
      </c>
    </row>
    <row r="333" spans="1:9" x14ac:dyDescent="0.3">
      <c r="A333">
        <v>343</v>
      </c>
      <c r="B333">
        <v>43</v>
      </c>
      <c r="C333" s="2">
        <v>44856.210833333331</v>
      </c>
      <c r="D333" s="2">
        <v>44856.218842592592</v>
      </c>
      <c r="E333" s="3">
        <f t="shared" si="15"/>
        <v>44856</v>
      </c>
      <c r="F333">
        <f t="shared" si="16"/>
        <v>10</v>
      </c>
      <c r="G333" s="4">
        <f t="shared" si="17"/>
        <v>11.533333336701617</v>
      </c>
      <c r="H333">
        <f>IF(COUNTIFS(B$2:B333,B333,E$2:E333,E333)=1,1,0)</f>
        <v>1</v>
      </c>
      <c r="I333">
        <f>IF(COUNTIFS(B$2:B333,B333,F$2:F333,F333)=1,1,0)</f>
        <v>0</v>
      </c>
    </row>
    <row r="334" spans="1:9" x14ac:dyDescent="0.3">
      <c r="A334">
        <v>344</v>
      </c>
      <c r="B334">
        <v>43</v>
      </c>
      <c r="C334" s="2">
        <v>44856.530358796299</v>
      </c>
      <c r="D334" s="2">
        <v>44856.536400462966</v>
      </c>
      <c r="E334" s="3">
        <f t="shared" si="15"/>
        <v>44856</v>
      </c>
      <c r="F334">
        <f t="shared" si="16"/>
        <v>10</v>
      </c>
      <c r="G334" s="4">
        <f t="shared" si="17"/>
        <v>8.7000000011175871</v>
      </c>
      <c r="H334">
        <f>IF(COUNTIFS(B$2:B334,B334,E$2:E334,E334)=1,1,0)</f>
        <v>0</v>
      </c>
      <c r="I334">
        <f>IF(COUNTIFS(B$2:B334,B334,F$2:F334,F334)=1,1,0)</f>
        <v>0</v>
      </c>
    </row>
    <row r="335" spans="1:9" x14ac:dyDescent="0.3">
      <c r="A335">
        <v>345</v>
      </c>
      <c r="B335">
        <v>43</v>
      </c>
      <c r="C335" s="2">
        <v>44856.676041666666</v>
      </c>
      <c r="D335" s="2">
        <v>44856.679756944446</v>
      </c>
      <c r="E335" s="3">
        <f t="shared" si="15"/>
        <v>44856</v>
      </c>
      <c r="F335">
        <f t="shared" si="16"/>
        <v>10</v>
      </c>
      <c r="G335" s="4">
        <f t="shared" si="17"/>
        <v>5.3500000038184226</v>
      </c>
      <c r="H335">
        <f>IF(COUNTIFS(B$2:B335,B335,E$2:E335,E335)=1,1,0)</f>
        <v>0</v>
      </c>
      <c r="I335">
        <f>IF(COUNTIFS(B$2:B335,B335,F$2:F335,F335)=1,1,0)</f>
        <v>0</v>
      </c>
    </row>
    <row r="336" spans="1:9" x14ac:dyDescent="0.3">
      <c r="A336">
        <v>346</v>
      </c>
      <c r="B336">
        <v>43</v>
      </c>
      <c r="C336" s="2">
        <v>44856.861296296294</v>
      </c>
      <c r="D336" s="2">
        <v>44856.868750000001</v>
      </c>
      <c r="E336" s="3">
        <f t="shared" si="15"/>
        <v>44856</v>
      </c>
      <c r="F336">
        <f t="shared" si="16"/>
        <v>10</v>
      </c>
      <c r="G336" s="4">
        <f t="shared" si="17"/>
        <v>10.733333338284865</v>
      </c>
      <c r="H336">
        <f>IF(COUNTIFS(B$2:B336,B336,E$2:E336,E336)=1,1,0)</f>
        <v>0</v>
      </c>
      <c r="I336">
        <f>IF(COUNTIFS(B$2:B336,B336,F$2:F336,F336)=1,1,0)</f>
        <v>0</v>
      </c>
    </row>
    <row r="337" spans="1:9" x14ac:dyDescent="0.3">
      <c r="A337">
        <v>347</v>
      </c>
      <c r="B337">
        <v>43</v>
      </c>
      <c r="C337" s="2">
        <v>44856.906458333331</v>
      </c>
      <c r="D337" s="2">
        <v>44856.910960648151</v>
      </c>
      <c r="E337" s="3">
        <f t="shared" si="15"/>
        <v>44856</v>
      </c>
      <c r="F337">
        <f t="shared" si="16"/>
        <v>10</v>
      </c>
      <c r="G337" s="4">
        <f t="shared" si="17"/>
        <v>6.4833333401475102</v>
      </c>
      <c r="H337">
        <f>IF(COUNTIFS(B$2:B337,B337,E$2:E337,E337)=1,1,0)</f>
        <v>0</v>
      </c>
      <c r="I337">
        <f>IF(COUNTIFS(B$2:B337,B337,F$2:F337,F337)=1,1,0)</f>
        <v>0</v>
      </c>
    </row>
    <row r="338" spans="1:9" x14ac:dyDescent="0.3">
      <c r="A338">
        <v>348</v>
      </c>
      <c r="B338">
        <v>43</v>
      </c>
      <c r="C338" s="2">
        <v>44857.147476851853</v>
      </c>
      <c r="D338" s="2">
        <v>44857.155543981484</v>
      </c>
      <c r="E338" s="3">
        <f t="shared" si="15"/>
        <v>44857</v>
      </c>
      <c r="F338">
        <f t="shared" si="16"/>
        <v>10</v>
      </c>
      <c r="G338" s="4">
        <f t="shared" si="17"/>
        <v>11.616666668560356</v>
      </c>
      <c r="H338">
        <f>IF(COUNTIFS(B$2:B338,B338,E$2:E338,E338)=1,1,0)</f>
        <v>1</v>
      </c>
      <c r="I338">
        <f>IF(COUNTIFS(B$2:B338,B338,F$2:F338,F338)=1,1,0)</f>
        <v>0</v>
      </c>
    </row>
    <row r="339" spans="1:9" x14ac:dyDescent="0.3">
      <c r="A339">
        <v>349</v>
      </c>
      <c r="B339">
        <v>43</v>
      </c>
      <c r="C339" s="2">
        <v>44857.228842592594</v>
      </c>
      <c r="D339" s="2">
        <v>44857.235162037039</v>
      </c>
      <c r="E339" s="3">
        <f t="shared" si="15"/>
        <v>44857</v>
      </c>
      <c r="F339">
        <f t="shared" si="16"/>
        <v>10</v>
      </c>
      <c r="G339" s="4">
        <f t="shared" si="17"/>
        <v>9.1000000003259629</v>
      </c>
      <c r="H339">
        <f>IF(COUNTIFS(B$2:B339,B339,E$2:E339,E339)=1,1,0)</f>
        <v>0</v>
      </c>
      <c r="I339">
        <f>IF(COUNTIFS(B$2:B339,B339,F$2:F339,F339)=1,1,0)</f>
        <v>0</v>
      </c>
    </row>
    <row r="340" spans="1:9" x14ac:dyDescent="0.3">
      <c r="A340">
        <v>350</v>
      </c>
      <c r="B340">
        <v>43</v>
      </c>
      <c r="C340" s="2">
        <v>44857.35601851852</v>
      </c>
      <c r="D340" s="2">
        <v>44857.359965277778</v>
      </c>
      <c r="E340" s="3">
        <f t="shared" si="15"/>
        <v>44857</v>
      </c>
      <c r="F340">
        <f t="shared" si="16"/>
        <v>10</v>
      </c>
      <c r="G340" s="4">
        <f t="shared" si="17"/>
        <v>5.6833333312533796</v>
      </c>
      <c r="H340">
        <f>IF(COUNTIFS(B$2:B340,B340,E$2:E340,E340)=1,1,0)</f>
        <v>0</v>
      </c>
      <c r="I340">
        <f>IF(COUNTIFS(B$2:B340,B340,F$2:F340,F340)=1,1,0)</f>
        <v>0</v>
      </c>
    </row>
    <row r="341" spans="1:9" x14ac:dyDescent="0.3">
      <c r="A341">
        <v>351</v>
      </c>
      <c r="B341">
        <v>43</v>
      </c>
      <c r="C341" s="2">
        <v>44857.670092592591</v>
      </c>
      <c r="D341" s="2">
        <v>44857.678078703706</v>
      </c>
      <c r="E341" s="3">
        <f t="shared" si="15"/>
        <v>44857</v>
      </c>
      <c r="F341">
        <f t="shared" si="16"/>
        <v>10</v>
      </c>
      <c r="G341" s="4">
        <f t="shared" si="17"/>
        <v>11.500000006053597</v>
      </c>
      <c r="H341">
        <f>IF(COUNTIFS(B$2:B341,B341,E$2:E341,E341)=1,1,0)</f>
        <v>0</v>
      </c>
      <c r="I341">
        <f>IF(COUNTIFS(B$2:B341,B341,F$2:F341,F341)=1,1,0)</f>
        <v>0</v>
      </c>
    </row>
    <row r="342" spans="1:9" x14ac:dyDescent="0.3">
      <c r="A342">
        <v>352</v>
      </c>
      <c r="B342">
        <v>43</v>
      </c>
      <c r="C342" s="2">
        <v>44857.886400462965</v>
      </c>
      <c r="D342" s="2">
        <v>44857.897627314815</v>
      </c>
      <c r="E342" s="3">
        <f t="shared" si="15"/>
        <v>44857</v>
      </c>
      <c r="F342">
        <f t="shared" si="16"/>
        <v>10</v>
      </c>
      <c r="G342" s="4">
        <f t="shared" si="17"/>
        <v>16.166666663484648</v>
      </c>
      <c r="H342">
        <f>IF(COUNTIFS(B$2:B342,B342,E$2:E342,E342)=1,1,0)</f>
        <v>0</v>
      </c>
      <c r="I342">
        <f>IF(COUNTIFS(B$2:B342,B342,F$2:F342,F342)=1,1,0)</f>
        <v>0</v>
      </c>
    </row>
    <row r="343" spans="1:9" x14ac:dyDescent="0.3">
      <c r="A343">
        <v>353</v>
      </c>
      <c r="B343">
        <v>43</v>
      </c>
      <c r="C343" s="2">
        <v>44858.073217592595</v>
      </c>
      <c r="D343" s="2">
        <v>44858.075497685182</v>
      </c>
      <c r="E343" s="3">
        <f t="shared" si="15"/>
        <v>44858</v>
      </c>
      <c r="F343">
        <f t="shared" si="16"/>
        <v>10</v>
      </c>
      <c r="G343" s="4">
        <f t="shared" si="17"/>
        <v>3.2833333255257457</v>
      </c>
      <c r="H343">
        <f>IF(COUNTIFS(B$2:B343,B343,E$2:E343,E343)=1,1,0)</f>
        <v>1</v>
      </c>
      <c r="I343">
        <f>IF(COUNTIFS(B$2:B343,B343,F$2:F343,F343)=1,1,0)</f>
        <v>0</v>
      </c>
    </row>
    <row r="344" spans="1:9" x14ac:dyDescent="0.3">
      <c r="A344">
        <v>354</v>
      </c>
      <c r="B344">
        <v>43</v>
      </c>
      <c r="C344" s="2">
        <v>44858.27925925926</v>
      </c>
      <c r="D344" s="2">
        <v>44858.287569444445</v>
      </c>
      <c r="E344" s="3">
        <f t="shared" si="15"/>
        <v>44858</v>
      </c>
      <c r="F344">
        <f t="shared" si="16"/>
        <v>10</v>
      </c>
      <c r="G344" s="4">
        <f t="shared" si="17"/>
        <v>11.966666666558012</v>
      </c>
      <c r="H344">
        <f>IF(COUNTIFS(B$2:B344,B344,E$2:E344,E344)=1,1,0)</f>
        <v>0</v>
      </c>
      <c r="I344">
        <f>IF(COUNTIFS(B$2:B344,B344,F$2:F344,F344)=1,1,0)</f>
        <v>0</v>
      </c>
    </row>
    <row r="345" spans="1:9" x14ac:dyDescent="0.3">
      <c r="A345">
        <v>355</v>
      </c>
      <c r="B345">
        <v>43</v>
      </c>
      <c r="C345" s="2">
        <v>44858.463576388887</v>
      </c>
      <c r="D345" s="2">
        <v>44858.473506944443</v>
      </c>
      <c r="E345" s="3">
        <f t="shared" si="15"/>
        <v>44858</v>
      </c>
      <c r="F345">
        <f t="shared" si="16"/>
        <v>10</v>
      </c>
      <c r="G345" s="4">
        <f t="shared" si="17"/>
        <v>14.300000000512227</v>
      </c>
      <c r="H345">
        <f>IF(COUNTIFS(B$2:B345,B345,E$2:E345,E345)=1,1,0)</f>
        <v>0</v>
      </c>
      <c r="I345">
        <f>IF(COUNTIFS(B$2:B345,B345,F$2:F345,F345)=1,1,0)</f>
        <v>0</v>
      </c>
    </row>
    <row r="346" spans="1:9" x14ac:dyDescent="0.3">
      <c r="A346">
        <v>356</v>
      </c>
      <c r="B346">
        <v>43</v>
      </c>
      <c r="C346" s="2">
        <v>44858.672442129631</v>
      </c>
      <c r="D346" s="2">
        <v>44858.677905092591</v>
      </c>
      <c r="E346" s="3">
        <f t="shared" si="15"/>
        <v>44858</v>
      </c>
      <c r="F346">
        <f t="shared" si="16"/>
        <v>10</v>
      </c>
      <c r="G346" s="4">
        <f t="shared" si="17"/>
        <v>7.8666666615754366</v>
      </c>
      <c r="H346">
        <f>IF(COUNTIFS(B$2:B346,B346,E$2:E346,E346)=1,1,0)</f>
        <v>0</v>
      </c>
      <c r="I346">
        <f>IF(COUNTIFS(B$2:B346,B346,F$2:F346,F346)=1,1,0)</f>
        <v>0</v>
      </c>
    </row>
    <row r="347" spans="1:9" x14ac:dyDescent="0.3">
      <c r="A347">
        <v>357</v>
      </c>
      <c r="B347">
        <v>43</v>
      </c>
      <c r="C347" s="2">
        <v>44858.824907407405</v>
      </c>
      <c r="D347" s="2">
        <v>44858.829664351855</v>
      </c>
      <c r="E347" s="3">
        <f t="shared" si="15"/>
        <v>44858</v>
      </c>
      <c r="F347">
        <f t="shared" si="16"/>
        <v>10</v>
      </c>
      <c r="G347" s="4">
        <f t="shared" si="17"/>
        <v>6.8500000087078661</v>
      </c>
      <c r="H347">
        <f>IF(COUNTIFS(B$2:B347,B347,E$2:E347,E347)=1,1,0)</f>
        <v>0</v>
      </c>
      <c r="I347">
        <f>IF(COUNTIFS(B$2:B347,B347,F$2:F347,F347)=1,1,0)</f>
        <v>0</v>
      </c>
    </row>
    <row r="348" spans="1:9" x14ac:dyDescent="0.3">
      <c r="A348">
        <v>358</v>
      </c>
      <c r="B348">
        <v>43</v>
      </c>
      <c r="C348" s="2">
        <v>44859.069340277776</v>
      </c>
      <c r="D348" s="2">
        <v>44859.079212962963</v>
      </c>
      <c r="E348" s="3">
        <f t="shared" si="15"/>
        <v>44859</v>
      </c>
      <c r="F348">
        <f t="shared" si="16"/>
        <v>10</v>
      </c>
      <c r="G348" s="4">
        <f t="shared" si="17"/>
        <v>14.216666668653488</v>
      </c>
      <c r="H348">
        <f>IF(COUNTIFS(B$2:B348,B348,E$2:E348,E348)=1,1,0)</f>
        <v>1</v>
      </c>
      <c r="I348">
        <f>IF(COUNTIFS(B$2:B348,B348,F$2:F348,F348)=1,1,0)</f>
        <v>0</v>
      </c>
    </row>
    <row r="349" spans="1:9" x14ac:dyDescent="0.3">
      <c r="A349">
        <v>359</v>
      </c>
      <c r="B349">
        <v>43</v>
      </c>
      <c r="C349" s="2">
        <v>44859.127430555556</v>
      </c>
      <c r="D349" s="2">
        <v>44859.13486111111</v>
      </c>
      <c r="E349" s="3">
        <f t="shared" si="15"/>
        <v>44859</v>
      </c>
      <c r="F349">
        <f t="shared" si="16"/>
        <v>10</v>
      </c>
      <c r="G349" s="4">
        <f t="shared" si="17"/>
        <v>10.699999997159466</v>
      </c>
      <c r="H349">
        <f>IF(COUNTIFS(B$2:B349,B349,E$2:E349,E349)=1,1,0)</f>
        <v>0</v>
      </c>
      <c r="I349">
        <f>IF(COUNTIFS(B$2:B349,B349,F$2:F349,F349)=1,1,0)</f>
        <v>0</v>
      </c>
    </row>
    <row r="350" spans="1:9" x14ac:dyDescent="0.3">
      <c r="A350">
        <v>360</v>
      </c>
      <c r="B350">
        <v>43</v>
      </c>
      <c r="C350" s="2">
        <v>44859.359699074077</v>
      </c>
      <c r="D350" s="2">
        <v>44859.363136574073</v>
      </c>
      <c r="E350" s="3">
        <f t="shared" si="15"/>
        <v>44859</v>
      </c>
      <c r="F350">
        <f t="shared" si="16"/>
        <v>10</v>
      </c>
      <c r="G350" s="4">
        <f t="shared" si="17"/>
        <v>4.9499999941326678</v>
      </c>
      <c r="H350">
        <f>IF(COUNTIFS(B$2:B350,B350,E$2:E350,E350)=1,1,0)</f>
        <v>0</v>
      </c>
      <c r="I350">
        <f>IF(COUNTIFS(B$2:B350,B350,F$2:F350,F350)=1,1,0)</f>
        <v>0</v>
      </c>
    </row>
    <row r="351" spans="1:9" x14ac:dyDescent="0.3">
      <c r="A351">
        <v>361</v>
      </c>
      <c r="B351">
        <v>43</v>
      </c>
      <c r="C351" s="2">
        <v>44859.43341435185</v>
      </c>
      <c r="D351" s="2">
        <v>44859.440347222226</v>
      </c>
      <c r="E351" s="3">
        <f t="shared" si="15"/>
        <v>44859</v>
      </c>
      <c r="F351">
        <f t="shared" si="16"/>
        <v>10</v>
      </c>
      <c r="G351" s="4">
        <f t="shared" si="17"/>
        <v>9.9833333410788327</v>
      </c>
      <c r="H351">
        <f>IF(COUNTIFS(B$2:B351,B351,E$2:E351,E351)=1,1,0)</f>
        <v>0</v>
      </c>
      <c r="I351">
        <f>IF(COUNTIFS(B$2:B351,B351,F$2:F351,F351)=1,1,0)</f>
        <v>0</v>
      </c>
    </row>
    <row r="352" spans="1:9" x14ac:dyDescent="0.3">
      <c r="A352">
        <v>362</v>
      </c>
      <c r="B352">
        <v>43</v>
      </c>
      <c r="C352" s="2">
        <v>44859.725451388891</v>
      </c>
      <c r="D352" s="2">
        <v>44859.733449074076</v>
      </c>
      <c r="E352" s="3">
        <f t="shared" si="15"/>
        <v>44859</v>
      </c>
      <c r="F352">
        <f t="shared" si="16"/>
        <v>10</v>
      </c>
      <c r="G352" s="4">
        <f t="shared" si="17"/>
        <v>11.516666666138917</v>
      </c>
      <c r="H352">
        <f>IF(COUNTIFS(B$2:B352,B352,E$2:E352,E352)=1,1,0)</f>
        <v>0</v>
      </c>
      <c r="I352">
        <f>IF(COUNTIFS(B$2:B352,B352,F$2:F352,F352)=1,1,0)</f>
        <v>0</v>
      </c>
    </row>
    <row r="353" spans="1:9" x14ac:dyDescent="0.3">
      <c r="A353">
        <v>363</v>
      </c>
      <c r="B353">
        <v>43</v>
      </c>
      <c r="C353" s="2">
        <v>44859.911898148152</v>
      </c>
      <c r="D353" s="2">
        <v>44859.917187500003</v>
      </c>
      <c r="E353" s="3">
        <f t="shared" si="15"/>
        <v>44859</v>
      </c>
      <c r="F353">
        <f t="shared" si="16"/>
        <v>10</v>
      </c>
      <c r="G353" s="4">
        <f t="shared" si="17"/>
        <v>7.6166666659992188</v>
      </c>
      <c r="H353">
        <f>IF(COUNTIFS(B$2:B353,B353,E$2:E353,E353)=1,1,0)</f>
        <v>0</v>
      </c>
      <c r="I353">
        <f>IF(COUNTIFS(B$2:B353,B353,F$2:F353,F353)=1,1,0)</f>
        <v>0</v>
      </c>
    </row>
    <row r="354" spans="1:9" x14ac:dyDescent="0.3">
      <c r="A354">
        <v>364</v>
      </c>
      <c r="B354">
        <v>43</v>
      </c>
      <c r="C354" s="2">
        <v>44859.956053240741</v>
      </c>
      <c r="D354" s="2">
        <v>44859.962858796294</v>
      </c>
      <c r="E354" s="3">
        <f t="shared" si="15"/>
        <v>44859</v>
      </c>
      <c r="F354">
        <f t="shared" si="16"/>
        <v>10</v>
      </c>
      <c r="G354" s="4">
        <f t="shared" si="17"/>
        <v>9.7999999963212758</v>
      </c>
      <c r="H354">
        <f>IF(COUNTIFS(B$2:B354,B354,E$2:E354,E354)=1,1,0)</f>
        <v>0</v>
      </c>
      <c r="I354">
        <f>IF(COUNTIFS(B$2:B354,B354,F$2:F354,F354)=1,1,0)</f>
        <v>0</v>
      </c>
    </row>
    <row r="355" spans="1:9" x14ac:dyDescent="0.3">
      <c r="A355">
        <v>365</v>
      </c>
      <c r="B355">
        <v>43</v>
      </c>
      <c r="C355" s="2">
        <v>44860.166863425926</v>
      </c>
      <c r="D355" s="2">
        <v>44860.168726851851</v>
      </c>
      <c r="E355" s="3">
        <f t="shared" si="15"/>
        <v>44860</v>
      </c>
      <c r="F355">
        <f t="shared" si="16"/>
        <v>10</v>
      </c>
      <c r="G355" s="4">
        <f t="shared" si="17"/>
        <v>2.6833333319518715</v>
      </c>
      <c r="H355">
        <f>IF(COUNTIFS(B$2:B355,B355,E$2:E355,E355)=1,1,0)</f>
        <v>1</v>
      </c>
      <c r="I355">
        <f>IF(COUNTIFS(B$2:B355,B355,F$2:F355,F355)=1,1,0)</f>
        <v>0</v>
      </c>
    </row>
    <row r="356" spans="1:9" x14ac:dyDescent="0.3">
      <c r="A356">
        <v>366</v>
      </c>
      <c r="B356">
        <v>43</v>
      </c>
      <c r="C356" s="2">
        <v>44860.392754629633</v>
      </c>
      <c r="D356" s="2">
        <v>44860.400509259256</v>
      </c>
      <c r="E356" s="3">
        <f t="shared" si="15"/>
        <v>44860</v>
      </c>
      <c r="F356">
        <f t="shared" si="16"/>
        <v>10</v>
      </c>
      <c r="G356" s="4">
        <f t="shared" si="17"/>
        <v>11.166666657663882</v>
      </c>
      <c r="H356">
        <f>IF(COUNTIFS(B$2:B356,B356,E$2:E356,E356)=1,1,0)</f>
        <v>0</v>
      </c>
      <c r="I356">
        <f>IF(COUNTIFS(B$2:B356,B356,F$2:F356,F356)=1,1,0)</f>
        <v>0</v>
      </c>
    </row>
    <row r="357" spans="1:9" x14ac:dyDescent="0.3">
      <c r="A357">
        <v>367</v>
      </c>
      <c r="B357">
        <v>43</v>
      </c>
      <c r="C357" s="2">
        <v>44860.643125000002</v>
      </c>
      <c r="D357" s="2">
        <v>44860.645254629628</v>
      </c>
      <c r="E357" s="3">
        <f t="shared" si="15"/>
        <v>44860</v>
      </c>
      <c r="F357">
        <f t="shared" si="16"/>
        <v>10</v>
      </c>
      <c r="G357" s="4">
        <f t="shared" si="17"/>
        <v>3.0666666605975479</v>
      </c>
      <c r="H357">
        <f>IF(COUNTIFS(B$2:B357,B357,E$2:E357,E357)=1,1,0)</f>
        <v>0</v>
      </c>
      <c r="I357">
        <f>IF(COUNTIFS(B$2:B357,B357,F$2:F357,F357)=1,1,0)</f>
        <v>0</v>
      </c>
    </row>
    <row r="358" spans="1:9" x14ac:dyDescent="0.3">
      <c r="A358">
        <v>368</v>
      </c>
      <c r="B358">
        <v>43</v>
      </c>
      <c r="C358" s="2">
        <v>44860.887835648151</v>
      </c>
      <c r="D358" s="2">
        <v>44860.895671296297</v>
      </c>
      <c r="E358" s="3">
        <f t="shared" si="15"/>
        <v>44860</v>
      </c>
      <c r="F358">
        <f t="shared" si="16"/>
        <v>10</v>
      </c>
      <c r="G358" s="4">
        <f t="shared" si="17"/>
        <v>11.28333333064802</v>
      </c>
      <c r="H358">
        <f>IF(COUNTIFS(B$2:B358,B358,E$2:E358,E358)=1,1,0)</f>
        <v>0</v>
      </c>
      <c r="I358">
        <f>IF(COUNTIFS(B$2:B358,B358,F$2:F358,F358)=1,1,0)</f>
        <v>0</v>
      </c>
    </row>
    <row r="359" spans="1:9" x14ac:dyDescent="0.3">
      <c r="A359">
        <v>369</v>
      </c>
      <c r="B359">
        <v>43</v>
      </c>
      <c r="C359" s="2">
        <v>44861.040208333332</v>
      </c>
      <c r="D359" s="2">
        <v>44861.043715277781</v>
      </c>
      <c r="E359" s="3">
        <f t="shared" si="15"/>
        <v>44861</v>
      </c>
      <c r="F359">
        <f t="shared" si="16"/>
        <v>10</v>
      </c>
      <c r="G359" s="4">
        <f t="shared" si="17"/>
        <v>5.0500000070314854</v>
      </c>
      <c r="H359">
        <f>IF(COUNTIFS(B$2:B359,B359,E$2:E359,E359)=1,1,0)</f>
        <v>1</v>
      </c>
      <c r="I359">
        <f>IF(COUNTIFS(B$2:B359,B359,F$2:F359,F359)=1,1,0)</f>
        <v>0</v>
      </c>
    </row>
    <row r="360" spans="1:9" x14ac:dyDescent="0.3">
      <c r="A360">
        <v>370</v>
      </c>
      <c r="B360">
        <v>43</v>
      </c>
      <c r="C360" s="2">
        <v>44861.302083333336</v>
      </c>
      <c r="D360" s="2">
        <v>44861.30541666667</v>
      </c>
      <c r="E360" s="3">
        <f t="shared" si="15"/>
        <v>44861</v>
      </c>
      <c r="F360">
        <f t="shared" si="16"/>
        <v>10</v>
      </c>
      <c r="G360" s="4">
        <f t="shared" si="17"/>
        <v>4.8000000009778887</v>
      </c>
      <c r="H360">
        <f>IF(COUNTIFS(B$2:B360,B360,E$2:E360,E360)=1,1,0)</f>
        <v>0</v>
      </c>
      <c r="I360">
        <f>IF(COUNTIFS(B$2:B360,B360,F$2:F360,F360)=1,1,0)</f>
        <v>0</v>
      </c>
    </row>
    <row r="361" spans="1:9" x14ac:dyDescent="0.3">
      <c r="A361">
        <v>371</v>
      </c>
      <c r="B361">
        <v>43</v>
      </c>
      <c r="C361" s="2">
        <v>44861.455706018518</v>
      </c>
      <c r="D361" s="2">
        <v>44861.46197916667</v>
      </c>
      <c r="E361" s="3">
        <f t="shared" si="15"/>
        <v>44861</v>
      </c>
      <c r="F361">
        <f t="shared" si="16"/>
        <v>10</v>
      </c>
      <c r="G361" s="4">
        <f t="shared" si="17"/>
        <v>9.0333333390299231</v>
      </c>
      <c r="H361">
        <f>IF(COUNTIFS(B$2:B361,B361,E$2:E361,E361)=1,1,0)</f>
        <v>0</v>
      </c>
      <c r="I361">
        <f>IF(COUNTIFS(B$2:B361,B361,F$2:F361,F361)=1,1,0)</f>
        <v>0</v>
      </c>
    </row>
    <row r="362" spans="1:9" x14ac:dyDescent="0.3">
      <c r="A362">
        <v>372</v>
      </c>
      <c r="B362">
        <v>43</v>
      </c>
      <c r="C362" s="2">
        <v>44861.74423611111</v>
      </c>
      <c r="D362" s="2">
        <v>44861.755196759259</v>
      </c>
      <c r="E362" s="3">
        <f t="shared" si="15"/>
        <v>44861</v>
      </c>
      <c r="F362">
        <f t="shared" si="16"/>
        <v>10</v>
      </c>
      <c r="G362" s="4">
        <f t="shared" si="17"/>
        <v>15.783333334838971</v>
      </c>
      <c r="H362">
        <f>IF(COUNTIFS(B$2:B362,B362,E$2:E362,E362)=1,1,0)</f>
        <v>0</v>
      </c>
      <c r="I362">
        <f>IF(COUNTIFS(B$2:B362,B362,F$2:F362,F362)=1,1,0)</f>
        <v>0</v>
      </c>
    </row>
    <row r="363" spans="1:9" x14ac:dyDescent="0.3">
      <c r="A363">
        <v>373</v>
      </c>
      <c r="B363">
        <v>43</v>
      </c>
      <c r="C363" s="2">
        <v>44861.976701388892</v>
      </c>
      <c r="D363" s="2">
        <v>44861.986168981479</v>
      </c>
      <c r="E363" s="3">
        <f t="shared" si="15"/>
        <v>44861</v>
      </c>
      <c r="F363">
        <f t="shared" si="16"/>
        <v>10</v>
      </c>
      <c r="G363" s="4">
        <f t="shared" si="17"/>
        <v>13.633333324687555</v>
      </c>
      <c r="H363">
        <f>IF(COUNTIFS(B$2:B363,B363,E$2:E363,E363)=1,1,0)</f>
        <v>0</v>
      </c>
      <c r="I363">
        <f>IF(COUNTIFS(B$2:B363,B363,F$2:F363,F363)=1,1,0)</f>
        <v>0</v>
      </c>
    </row>
    <row r="364" spans="1:9" x14ac:dyDescent="0.3">
      <c r="A364">
        <v>374</v>
      </c>
      <c r="B364">
        <v>43</v>
      </c>
      <c r="C364" s="2">
        <v>44862.260381944441</v>
      </c>
      <c r="D364" s="2">
        <v>44862.262048611112</v>
      </c>
      <c r="E364" s="3">
        <f t="shared" si="15"/>
        <v>44862</v>
      </c>
      <c r="F364">
        <f t="shared" si="16"/>
        <v>10</v>
      </c>
      <c r="G364" s="4">
        <f t="shared" si="17"/>
        <v>2.4000000057276338</v>
      </c>
      <c r="H364">
        <f>IF(COUNTIFS(B$2:B364,B364,E$2:E364,E364)=1,1,0)</f>
        <v>1</v>
      </c>
      <c r="I364">
        <f>IF(COUNTIFS(B$2:B364,B364,F$2:F364,F364)=1,1,0)</f>
        <v>0</v>
      </c>
    </row>
    <row r="365" spans="1:9" x14ac:dyDescent="0.3">
      <c r="A365">
        <v>375</v>
      </c>
      <c r="B365">
        <v>43</v>
      </c>
      <c r="C365" s="2">
        <v>44862.468564814815</v>
      </c>
      <c r="D365" s="2">
        <v>44862.476064814815</v>
      </c>
      <c r="E365" s="3">
        <f t="shared" si="15"/>
        <v>44862</v>
      </c>
      <c r="F365">
        <f t="shared" si="16"/>
        <v>10</v>
      </c>
      <c r="G365" s="4">
        <f t="shared" si="17"/>
        <v>10.799999999580905</v>
      </c>
      <c r="H365">
        <f>IF(COUNTIFS(B$2:B365,B365,E$2:E365,E365)=1,1,0)</f>
        <v>0</v>
      </c>
      <c r="I365">
        <f>IF(COUNTIFS(B$2:B365,B365,F$2:F365,F365)=1,1,0)</f>
        <v>0</v>
      </c>
    </row>
    <row r="366" spans="1:9" x14ac:dyDescent="0.3">
      <c r="A366">
        <v>376</v>
      </c>
      <c r="B366">
        <v>43</v>
      </c>
      <c r="C366" s="2">
        <v>44862.734803240739</v>
      </c>
      <c r="D366" s="2">
        <v>44862.737881944442</v>
      </c>
      <c r="E366" s="3">
        <f t="shared" si="15"/>
        <v>44862</v>
      </c>
      <c r="F366">
        <f t="shared" si="16"/>
        <v>10</v>
      </c>
      <c r="G366" s="4">
        <f t="shared" si="17"/>
        <v>4.4333333324175328</v>
      </c>
      <c r="H366">
        <f>IF(COUNTIFS(B$2:B366,B366,E$2:E366,E366)=1,1,0)</f>
        <v>0</v>
      </c>
      <c r="I366">
        <f>IF(COUNTIFS(B$2:B366,B366,F$2:F366,F366)=1,1,0)</f>
        <v>0</v>
      </c>
    </row>
    <row r="367" spans="1:9" x14ac:dyDescent="0.3">
      <c r="A367">
        <v>377</v>
      </c>
      <c r="B367">
        <v>43</v>
      </c>
      <c r="C367" s="2">
        <v>44863.046539351853</v>
      </c>
      <c r="D367" s="2">
        <v>44863.051782407405</v>
      </c>
      <c r="E367" s="3">
        <f t="shared" si="15"/>
        <v>44863</v>
      </c>
      <c r="F367">
        <f t="shared" si="16"/>
        <v>10</v>
      </c>
      <c r="G367" s="4">
        <f t="shared" si="17"/>
        <v>7.5499999942258</v>
      </c>
      <c r="H367">
        <f>IF(COUNTIFS(B$2:B367,B367,E$2:E367,E367)=1,1,0)</f>
        <v>1</v>
      </c>
      <c r="I367">
        <f>IF(COUNTIFS(B$2:B367,B367,F$2:F367,F367)=1,1,0)</f>
        <v>0</v>
      </c>
    </row>
    <row r="368" spans="1:9" x14ac:dyDescent="0.3">
      <c r="A368">
        <v>378</v>
      </c>
      <c r="B368">
        <v>43</v>
      </c>
      <c r="C368" s="2">
        <v>44863.113206018519</v>
      </c>
      <c r="D368" s="2">
        <v>44863.116412037038</v>
      </c>
      <c r="E368" s="3">
        <f t="shared" si="15"/>
        <v>44863</v>
      </c>
      <c r="F368">
        <f t="shared" si="16"/>
        <v>10</v>
      </c>
      <c r="G368" s="4">
        <f t="shared" si="17"/>
        <v>4.6166666666977108</v>
      </c>
      <c r="H368">
        <f>IF(COUNTIFS(B$2:B368,B368,E$2:E368,E368)=1,1,0)</f>
        <v>0</v>
      </c>
      <c r="I368">
        <f>IF(COUNTIFS(B$2:B368,B368,F$2:F368,F368)=1,1,0)</f>
        <v>0</v>
      </c>
    </row>
    <row r="369" spans="1:9" x14ac:dyDescent="0.3">
      <c r="A369">
        <v>379</v>
      </c>
      <c r="B369">
        <v>43</v>
      </c>
      <c r="C369" s="2">
        <v>44863.228310185186</v>
      </c>
      <c r="D369" s="2">
        <v>44863.23578703704</v>
      </c>
      <c r="E369" s="3">
        <f t="shared" si="15"/>
        <v>44863</v>
      </c>
      <c r="F369">
        <f t="shared" si="16"/>
        <v>10</v>
      </c>
      <c r="G369" s="4">
        <f t="shared" si="17"/>
        <v>10.766666668932885</v>
      </c>
      <c r="H369">
        <f>IF(COUNTIFS(B$2:B369,B369,E$2:E369,E369)=1,1,0)</f>
        <v>0</v>
      </c>
      <c r="I369">
        <f>IF(COUNTIFS(B$2:B369,B369,F$2:F369,F369)=1,1,0)</f>
        <v>0</v>
      </c>
    </row>
    <row r="370" spans="1:9" x14ac:dyDescent="0.3">
      <c r="A370">
        <v>380</v>
      </c>
      <c r="B370">
        <v>43</v>
      </c>
      <c r="C370" s="2">
        <v>44863.311076388891</v>
      </c>
      <c r="D370" s="2">
        <v>44863.313784722224</v>
      </c>
      <c r="E370" s="3">
        <f t="shared" si="15"/>
        <v>44863</v>
      </c>
      <c r="F370">
        <f t="shared" si="16"/>
        <v>10</v>
      </c>
      <c r="G370" s="4">
        <f t="shared" si="17"/>
        <v>3.9000000001396984</v>
      </c>
      <c r="H370">
        <f>IF(COUNTIFS(B$2:B370,B370,E$2:E370,E370)=1,1,0)</f>
        <v>0</v>
      </c>
      <c r="I370">
        <f>IF(COUNTIFS(B$2:B370,B370,F$2:F370,F370)=1,1,0)</f>
        <v>0</v>
      </c>
    </row>
    <row r="371" spans="1:9" x14ac:dyDescent="0.3">
      <c r="A371">
        <v>381</v>
      </c>
      <c r="B371">
        <v>43</v>
      </c>
      <c r="C371" s="2">
        <v>44863.521284722221</v>
      </c>
      <c r="D371" s="2">
        <v>44863.528807870367</v>
      </c>
      <c r="E371" s="3">
        <f t="shared" si="15"/>
        <v>44863</v>
      </c>
      <c r="F371">
        <f t="shared" si="16"/>
        <v>10</v>
      </c>
      <c r="G371" s="4">
        <f t="shared" si="17"/>
        <v>10.833333330228925</v>
      </c>
      <c r="H371">
        <f>IF(COUNTIFS(B$2:B371,B371,E$2:E371,E371)=1,1,0)</f>
        <v>0</v>
      </c>
      <c r="I371">
        <f>IF(COUNTIFS(B$2:B371,B371,F$2:F371,F371)=1,1,0)</f>
        <v>0</v>
      </c>
    </row>
    <row r="372" spans="1:9" x14ac:dyDescent="0.3">
      <c r="A372">
        <v>382</v>
      </c>
      <c r="B372">
        <v>43</v>
      </c>
      <c r="C372" s="2">
        <v>44863.738240740742</v>
      </c>
      <c r="D372" s="2">
        <v>44863.744791666664</v>
      </c>
      <c r="E372" s="3">
        <f t="shared" si="15"/>
        <v>44863</v>
      </c>
      <c r="F372">
        <f t="shared" si="16"/>
        <v>10</v>
      </c>
      <c r="G372" s="4">
        <f t="shared" si="17"/>
        <v>9.4333333277609199</v>
      </c>
      <c r="H372">
        <f>IF(COUNTIFS(B$2:B372,B372,E$2:E372,E372)=1,1,0)</f>
        <v>0</v>
      </c>
      <c r="I372">
        <f>IF(COUNTIFS(B$2:B372,B372,F$2:F372,F372)=1,1,0)</f>
        <v>0</v>
      </c>
    </row>
    <row r="373" spans="1:9" x14ac:dyDescent="0.3">
      <c r="A373">
        <v>383</v>
      </c>
      <c r="B373">
        <v>43</v>
      </c>
      <c r="C373" s="2">
        <v>44863.859594907408</v>
      </c>
      <c r="D373" s="2">
        <v>44863.861747685187</v>
      </c>
      <c r="E373" s="3">
        <f t="shared" si="15"/>
        <v>44863</v>
      </c>
      <c r="F373">
        <f t="shared" si="16"/>
        <v>10</v>
      </c>
      <c r="G373" s="4">
        <f t="shared" si="17"/>
        <v>3.1000000017229468</v>
      </c>
      <c r="H373">
        <f>IF(COUNTIFS(B$2:B373,B373,E$2:E373,E373)=1,1,0)</f>
        <v>0</v>
      </c>
      <c r="I373">
        <f>IF(COUNTIFS(B$2:B373,B373,F$2:F373,F373)=1,1,0)</f>
        <v>0</v>
      </c>
    </row>
    <row r="374" spans="1:9" x14ac:dyDescent="0.3">
      <c r="A374">
        <v>384</v>
      </c>
      <c r="B374">
        <v>44</v>
      </c>
      <c r="C374" s="2">
        <v>44705.66978009259</v>
      </c>
      <c r="D374" s="2">
        <v>44705.672777777778</v>
      </c>
      <c r="E374" s="3">
        <f t="shared" si="15"/>
        <v>44705</v>
      </c>
      <c r="F374">
        <f t="shared" si="16"/>
        <v>5</v>
      </c>
      <c r="G374" s="4">
        <f t="shared" si="17"/>
        <v>4.3166666699107736</v>
      </c>
      <c r="H374">
        <f>IF(COUNTIFS(B$2:B374,B374,E$2:E374,E374)=1,1,0)</f>
        <v>1</v>
      </c>
      <c r="I374">
        <f>IF(COUNTIFS(B$2:B374,B374,F$2:F374,F374)=1,1,0)</f>
        <v>1</v>
      </c>
    </row>
    <row r="375" spans="1:9" x14ac:dyDescent="0.3">
      <c r="A375">
        <v>385</v>
      </c>
      <c r="B375">
        <v>44</v>
      </c>
      <c r="C375" s="2">
        <v>44705.749756944446</v>
      </c>
      <c r="D375" s="2">
        <v>44705.753888888888</v>
      </c>
      <c r="E375" s="3">
        <f t="shared" si="15"/>
        <v>44705</v>
      </c>
      <c r="F375">
        <f t="shared" si="16"/>
        <v>5</v>
      </c>
      <c r="G375" s="4">
        <f t="shared" si="17"/>
        <v>5.9499999973922968</v>
      </c>
      <c r="H375">
        <f>IF(COUNTIFS(B$2:B375,B375,E$2:E375,E375)=1,1,0)</f>
        <v>0</v>
      </c>
      <c r="I375">
        <f>IF(COUNTIFS(B$2:B375,B375,F$2:F375,F375)=1,1,0)</f>
        <v>0</v>
      </c>
    </row>
    <row r="376" spans="1:9" x14ac:dyDescent="0.3">
      <c r="A376">
        <v>386</v>
      </c>
      <c r="B376">
        <v>44</v>
      </c>
      <c r="C376" s="2">
        <v>44705.926944444444</v>
      </c>
      <c r="D376" s="2">
        <v>44705.932546296295</v>
      </c>
      <c r="E376" s="3">
        <f t="shared" si="15"/>
        <v>44705</v>
      </c>
      <c r="F376">
        <f t="shared" si="16"/>
        <v>5</v>
      </c>
      <c r="G376" s="4">
        <f t="shared" si="17"/>
        <v>8.066666666418314</v>
      </c>
      <c r="H376">
        <f>IF(COUNTIFS(B$2:B376,B376,E$2:E376,E376)=1,1,0)</f>
        <v>0</v>
      </c>
      <c r="I376">
        <f>IF(COUNTIFS(B$2:B376,B376,F$2:F376,F376)=1,1,0)</f>
        <v>0</v>
      </c>
    </row>
    <row r="377" spans="1:9" x14ac:dyDescent="0.3">
      <c r="A377">
        <v>387</v>
      </c>
      <c r="B377">
        <v>44</v>
      </c>
      <c r="C377" s="2">
        <v>44706.263773148145</v>
      </c>
      <c r="D377" s="2">
        <v>44706.269363425927</v>
      </c>
      <c r="E377" s="3">
        <f t="shared" si="15"/>
        <v>44706</v>
      </c>
      <c r="F377">
        <f t="shared" si="16"/>
        <v>5</v>
      </c>
      <c r="G377" s="4">
        <f t="shared" si="17"/>
        <v>8.0500000063329935</v>
      </c>
      <c r="H377">
        <f>IF(COUNTIFS(B$2:B377,B377,E$2:E377,E377)=1,1,0)</f>
        <v>1</v>
      </c>
      <c r="I377">
        <f>IF(COUNTIFS(B$2:B377,B377,F$2:F377,F377)=1,1,0)</f>
        <v>0</v>
      </c>
    </row>
    <row r="378" spans="1:9" x14ac:dyDescent="0.3">
      <c r="A378">
        <v>388</v>
      </c>
      <c r="B378">
        <v>45</v>
      </c>
      <c r="C378" s="2">
        <v>44895.488923611112</v>
      </c>
      <c r="D378" s="2">
        <v>44895.492847222224</v>
      </c>
      <c r="E378" s="3">
        <f t="shared" si="15"/>
        <v>44895</v>
      </c>
      <c r="F378">
        <f t="shared" si="16"/>
        <v>11</v>
      </c>
      <c r="G378" s="4">
        <f t="shared" si="17"/>
        <v>5.6500000006053597</v>
      </c>
      <c r="H378">
        <f>IF(COUNTIFS(B$2:B378,B378,E$2:E378,E378)=1,1,0)</f>
        <v>1</v>
      </c>
      <c r="I378">
        <f>IF(COUNTIFS(B$2:B378,B378,F$2:F378,F378)=1,1,0)</f>
        <v>1</v>
      </c>
    </row>
    <row r="379" spans="1:9" x14ac:dyDescent="0.3">
      <c r="A379">
        <v>389</v>
      </c>
      <c r="B379">
        <v>45</v>
      </c>
      <c r="C379" s="2">
        <v>44895.836550925924</v>
      </c>
      <c r="D379" s="2">
        <v>44895.838750000003</v>
      </c>
      <c r="E379" s="3">
        <f t="shared" si="15"/>
        <v>44895</v>
      </c>
      <c r="F379">
        <f t="shared" si="16"/>
        <v>11</v>
      </c>
      <c r="G379" s="4">
        <f t="shared" si="17"/>
        <v>3.1666666734963655</v>
      </c>
      <c r="H379">
        <f>IF(COUNTIFS(B$2:B379,B379,E$2:E379,E379)=1,1,0)</f>
        <v>0</v>
      </c>
      <c r="I379">
        <f>IF(COUNTIFS(B$2:B379,B379,F$2:F379,F379)=1,1,0)</f>
        <v>0</v>
      </c>
    </row>
    <row r="380" spans="1:9" x14ac:dyDescent="0.3">
      <c r="A380">
        <v>390</v>
      </c>
      <c r="B380">
        <v>45</v>
      </c>
      <c r="C380" s="2">
        <v>44895.911817129629</v>
      </c>
      <c r="D380" s="2">
        <v>44895.918807870374</v>
      </c>
      <c r="E380" s="3">
        <f t="shared" si="15"/>
        <v>44895</v>
      </c>
      <c r="F380">
        <f t="shared" si="16"/>
        <v>11</v>
      </c>
      <c r="G380" s="4">
        <f t="shared" si="17"/>
        <v>10.066666672937572</v>
      </c>
      <c r="H380">
        <f>IF(COUNTIFS(B$2:B380,B380,E$2:E380,E380)=1,1,0)</f>
        <v>0</v>
      </c>
      <c r="I380">
        <f>IF(COUNTIFS(B$2:B380,B380,F$2:F380,F380)=1,1,0)</f>
        <v>0</v>
      </c>
    </row>
    <row r="381" spans="1:9" x14ac:dyDescent="0.3">
      <c r="A381">
        <v>391</v>
      </c>
      <c r="B381">
        <v>45</v>
      </c>
      <c r="C381" s="2">
        <v>44896.186921296299</v>
      </c>
      <c r="D381" s="2">
        <v>44896.19809027778</v>
      </c>
      <c r="E381" s="3">
        <f t="shared" si="15"/>
        <v>44896</v>
      </c>
      <c r="F381">
        <f t="shared" si="16"/>
        <v>12</v>
      </c>
      <c r="G381" s="4">
        <f t="shared" si="17"/>
        <v>16.083333331625909</v>
      </c>
      <c r="H381">
        <f>IF(COUNTIFS(B$2:B381,B381,E$2:E381,E381)=1,1,0)</f>
        <v>1</v>
      </c>
      <c r="I381">
        <f>IF(COUNTIFS(B$2:B381,B381,F$2:F381,F381)=1,1,0)</f>
        <v>1</v>
      </c>
    </row>
    <row r="382" spans="1:9" x14ac:dyDescent="0.3">
      <c r="A382">
        <v>392</v>
      </c>
      <c r="B382">
        <v>45</v>
      </c>
      <c r="C382" s="2">
        <v>44896.477048611108</v>
      </c>
      <c r="D382" s="2">
        <v>44896.481226851851</v>
      </c>
      <c r="E382" s="3">
        <f t="shared" si="15"/>
        <v>44896</v>
      </c>
      <c r="F382">
        <f t="shared" si="16"/>
        <v>12</v>
      </c>
      <c r="G382" s="4">
        <f t="shared" si="17"/>
        <v>6.0166666691657156</v>
      </c>
      <c r="H382">
        <f>IF(COUNTIFS(B$2:B382,B382,E$2:E382,E382)=1,1,0)</f>
        <v>0</v>
      </c>
      <c r="I382">
        <f>IF(COUNTIFS(B$2:B382,B382,F$2:F382,F382)=1,1,0)</f>
        <v>0</v>
      </c>
    </row>
    <row r="383" spans="1:9" x14ac:dyDescent="0.3">
      <c r="A383">
        <v>393</v>
      </c>
      <c r="B383">
        <v>45</v>
      </c>
      <c r="C383" s="2">
        <v>44896.824270833335</v>
      </c>
      <c r="D383" s="2">
        <v>44896.830555555556</v>
      </c>
      <c r="E383" s="3">
        <f t="shared" si="15"/>
        <v>44896</v>
      </c>
      <c r="F383">
        <f t="shared" si="16"/>
        <v>12</v>
      </c>
      <c r="G383" s="4">
        <f t="shared" si="17"/>
        <v>9.0499999991152436</v>
      </c>
      <c r="H383">
        <f>IF(COUNTIFS(B$2:B383,B383,E$2:E383,E383)=1,1,0)</f>
        <v>0</v>
      </c>
      <c r="I383">
        <f>IF(COUNTIFS(B$2:B383,B383,F$2:F383,F383)=1,1,0)</f>
        <v>0</v>
      </c>
    </row>
    <row r="384" spans="1:9" x14ac:dyDescent="0.3">
      <c r="A384">
        <v>394</v>
      </c>
      <c r="B384">
        <v>45</v>
      </c>
      <c r="C384" s="2">
        <v>44896.938113425924</v>
      </c>
      <c r="D384" s="2">
        <v>44896.944976851853</v>
      </c>
      <c r="E384" s="3">
        <f t="shared" si="15"/>
        <v>44896</v>
      </c>
      <c r="F384">
        <f t="shared" si="16"/>
        <v>12</v>
      </c>
      <c r="G384" s="4">
        <f t="shared" si="17"/>
        <v>9.8833333386573941</v>
      </c>
      <c r="H384">
        <f>IF(COUNTIFS(B$2:B384,B384,E$2:E384,E384)=1,1,0)</f>
        <v>0</v>
      </c>
      <c r="I384">
        <f>IF(COUNTIFS(B$2:B384,B384,F$2:F384,F384)=1,1,0)</f>
        <v>0</v>
      </c>
    </row>
    <row r="385" spans="1:9" x14ac:dyDescent="0.3">
      <c r="A385">
        <v>395</v>
      </c>
      <c r="B385">
        <v>45</v>
      </c>
      <c r="C385" s="2">
        <v>44897.198391203703</v>
      </c>
      <c r="D385" s="2">
        <v>44897.203611111108</v>
      </c>
      <c r="E385" s="3">
        <f t="shared" si="15"/>
        <v>44897</v>
      </c>
      <c r="F385">
        <f t="shared" si="16"/>
        <v>12</v>
      </c>
      <c r="G385" s="4">
        <f t="shared" si="17"/>
        <v>7.5166666635777801</v>
      </c>
      <c r="H385">
        <f>IF(COUNTIFS(B$2:B385,B385,E$2:E385,E385)=1,1,0)</f>
        <v>1</v>
      </c>
      <c r="I385">
        <f>IF(COUNTIFS(B$2:B385,B385,F$2:F385,F385)=1,1,0)</f>
        <v>0</v>
      </c>
    </row>
    <row r="386" spans="1:9" x14ac:dyDescent="0.3">
      <c r="A386">
        <v>396</v>
      </c>
      <c r="B386">
        <v>45</v>
      </c>
      <c r="C386" s="2">
        <v>44897.464942129627</v>
      </c>
      <c r="D386" s="2">
        <v>44897.470138888886</v>
      </c>
      <c r="E386" s="3">
        <f t="shared" ref="E386:E449" si="18">INT(C386)</f>
        <v>44897</v>
      </c>
      <c r="F386">
        <f t="shared" ref="F386:F449" si="19">MONTH(C386)</f>
        <v>12</v>
      </c>
      <c r="G386" s="4">
        <f t="shared" ref="G386:G449" si="20">(D386-C386)*1440</f>
        <v>7.4833333329297602</v>
      </c>
      <c r="H386">
        <f>IF(COUNTIFS(B$2:B386,B386,E$2:E386,E386)=1,1,0)</f>
        <v>0</v>
      </c>
      <c r="I386">
        <f>IF(COUNTIFS(B$2:B386,B386,F$2:F386,F386)=1,1,0)</f>
        <v>0</v>
      </c>
    </row>
    <row r="387" spans="1:9" x14ac:dyDescent="0.3">
      <c r="A387">
        <v>397</v>
      </c>
      <c r="B387">
        <v>45</v>
      </c>
      <c r="C387" s="2">
        <v>44897.719768518517</v>
      </c>
      <c r="D387" s="2">
        <v>44897.723275462966</v>
      </c>
      <c r="E387" s="3">
        <f t="shared" si="18"/>
        <v>44897</v>
      </c>
      <c r="F387">
        <f t="shared" si="19"/>
        <v>12</v>
      </c>
      <c r="G387" s="4">
        <f t="shared" si="20"/>
        <v>5.0500000070314854</v>
      </c>
      <c r="H387">
        <f>IF(COUNTIFS(B$2:B387,B387,E$2:E387,E387)=1,1,0)</f>
        <v>0</v>
      </c>
      <c r="I387">
        <f>IF(COUNTIFS(B$2:B387,B387,F$2:F387,F387)=1,1,0)</f>
        <v>0</v>
      </c>
    </row>
    <row r="388" spans="1:9" x14ac:dyDescent="0.3">
      <c r="A388">
        <v>398</v>
      </c>
      <c r="B388">
        <v>45</v>
      </c>
      <c r="C388" s="2">
        <v>44897.838958333334</v>
      </c>
      <c r="D388" s="2">
        <v>44897.846030092594</v>
      </c>
      <c r="E388" s="3">
        <f t="shared" si="18"/>
        <v>44897</v>
      </c>
      <c r="F388">
        <f t="shared" si="19"/>
        <v>12</v>
      </c>
      <c r="G388" s="4">
        <f t="shared" si="20"/>
        <v>10.183333335444331</v>
      </c>
      <c r="H388">
        <f>IF(COUNTIFS(B$2:B388,B388,E$2:E388,E388)=1,1,0)</f>
        <v>0</v>
      </c>
      <c r="I388">
        <f>IF(COUNTIFS(B$2:B388,B388,F$2:F388,F388)=1,1,0)</f>
        <v>0</v>
      </c>
    </row>
    <row r="389" spans="1:9" x14ac:dyDescent="0.3">
      <c r="A389">
        <v>399</v>
      </c>
      <c r="B389">
        <v>45</v>
      </c>
      <c r="C389" s="2">
        <v>44898.002962962964</v>
      </c>
      <c r="D389" s="2">
        <v>44898.004965277774</v>
      </c>
      <c r="E389" s="3">
        <f t="shared" si="18"/>
        <v>44898</v>
      </c>
      <c r="F389">
        <f t="shared" si="19"/>
        <v>12</v>
      </c>
      <c r="G389" s="4">
        <f t="shared" si="20"/>
        <v>2.8833333263173699</v>
      </c>
      <c r="H389">
        <f>IF(COUNTIFS(B$2:B389,B389,E$2:E389,E389)=1,1,0)</f>
        <v>1</v>
      </c>
      <c r="I389">
        <f>IF(COUNTIFS(B$2:B389,B389,F$2:F389,F389)=1,1,0)</f>
        <v>0</v>
      </c>
    </row>
    <row r="390" spans="1:9" x14ac:dyDescent="0.3">
      <c r="A390">
        <v>400</v>
      </c>
      <c r="B390">
        <v>45</v>
      </c>
      <c r="C390" s="2">
        <v>44898.118668981479</v>
      </c>
      <c r="D390" s="2">
        <v>44898.120821759258</v>
      </c>
      <c r="E390" s="3">
        <f t="shared" si="18"/>
        <v>44898</v>
      </c>
      <c r="F390">
        <f t="shared" si="19"/>
        <v>12</v>
      </c>
      <c r="G390" s="4">
        <f t="shared" si="20"/>
        <v>3.1000000017229468</v>
      </c>
      <c r="H390">
        <f>IF(COUNTIFS(B$2:B390,B390,E$2:E390,E390)=1,1,0)</f>
        <v>0</v>
      </c>
      <c r="I390">
        <f>IF(COUNTIFS(B$2:B390,B390,F$2:F390,F390)=1,1,0)</f>
        <v>0</v>
      </c>
    </row>
    <row r="391" spans="1:9" x14ac:dyDescent="0.3">
      <c r="A391">
        <v>401</v>
      </c>
      <c r="B391">
        <v>45</v>
      </c>
      <c r="C391" s="2">
        <v>44898.251574074071</v>
      </c>
      <c r="D391" s="2">
        <v>44898.258310185185</v>
      </c>
      <c r="E391" s="3">
        <f t="shared" si="18"/>
        <v>44898</v>
      </c>
      <c r="F391">
        <f t="shared" si="19"/>
        <v>12</v>
      </c>
      <c r="G391" s="4">
        <f t="shared" si="20"/>
        <v>9.7000000043772161</v>
      </c>
      <c r="H391">
        <f>IF(COUNTIFS(B$2:B391,B391,E$2:E391,E391)=1,1,0)</f>
        <v>0</v>
      </c>
      <c r="I391">
        <f>IF(COUNTIFS(B$2:B391,B391,F$2:F391,F391)=1,1,0)</f>
        <v>0</v>
      </c>
    </row>
    <row r="392" spans="1:9" x14ac:dyDescent="0.3">
      <c r="A392">
        <v>402</v>
      </c>
      <c r="B392">
        <v>45</v>
      </c>
      <c r="C392" s="2">
        <v>44898.462175925924</v>
      </c>
      <c r="D392" s="2">
        <v>44898.470347222225</v>
      </c>
      <c r="E392" s="3">
        <f t="shared" si="18"/>
        <v>44898</v>
      </c>
      <c r="F392">
        <f t="shared" si="19"/>
        <v>12</v>
      </c>
      <c r="G392" s="4">
        <f t="shared" si="20"/>
        <v>11.766666672192514</v>
      </c>
      <c r="H392">
        <f>IF(COUNTIFS(B$2:B392,B392,E$2:E392,E392)=1,1,0)</f>
        <v>0</v>
      </c>
      <c r="I392">
        <f>IF(COUNTIFS(B$2:B392,B392,F$2:F392,F392)=1,1,0)</f>
        <v>0</v>
      </c>
    </row>
    <row r="393" spans="1:9" x14ac:dyDescent="0.3">
      <c r="A393">
        <v>403</v>
      </c>
      <c r="B393">
        <v>45</v>
      </c>
      <c r="C393" s="2">
        <v>44898.655532407407</v>
      </c>
      <c r="D393" s="2">
        <v>44898.664409722223</v>
      </c>
      <c r="E393" s="3">
        <f t="shared" si="18"/>
        <v>44898</v>
      </c>
      <c r="F393">
        <f t="shared" si="19"/>
        <v>12</v>
      </c>
      <c r="G393" s="4">
        <f t="shared" si="20"/>
        <v>12.783333335537463</v>
      </c>
      <c r="H393">
        <f>IF(COUNTIFS(B$2:B393,B393,E$2:E393,E393)=1,1,0)</f>
        <v>0</v>
      </c>
      <c r="I393">
        <f>IF(COUNTIFS(B$2:B393,B393,F$2:F393,F393)=1,1,0)</f>
        <v>0</v>
      </c>
    </row>
    <row r="394" spans="1:9" x14ac:dyDescent="0.3">
      <c r="A394">
        <v>404</v>
      </c>
      <c r="B394">
        <v>45</v>
      </c>
      <c r="C394" s="2">
        <v>44898.842511574076</v>
      </c>
      <c r="D394" s="2">
        <v>44898.847997685189</v>
      </c>
      <c r="E394" s="3">
        <f t="shared" si="18"/>
        <v>44898</v>
      </c>
      <c r="F394">
        <f t="shared" si="19"/>
        <v>12</v>
      </c>
      <c r="G394" s="4">
        <f t="shared" si="20"/>
        <v>7.9000000027008355</v>
      </c>
      <c r="H394">
        <f>IF(COUNTIFS(B$2:B394,B394,E$2:E394,E394)=1,1,0)</f>
        <v>0</v>
      </c>
      <c r="I394">
        <f>IF(COUNTIFS(B$2:B394,B394,F$2:F394,F394)=1,1,0)</f>
        <v>0</v>
      </c>
    </row>
    <row r="395" spans="1:9" x14ac:dyDescent="0.3">
      <c r="A395">
        <v>405</v>
      </c>
      <c r="B395">
        <v>45</v>
      </c>
      <c r="C395" s="2">
        <v>44899.089548611111</v>
      </c>
      <c r="D395" s="2">
        <v>44899.097118055557</v>
      </c>
      <c r="E395" s="3">
        <f t="shared" si="18"/>
        <v>44899</v>
      </c>
      <c r="F395">
        <f t="shared" si="19"/>
        <v>12</v>
      </c>
      <c r="G395" s="4">
        <f t="shared" si="20"/>
        <v>10.900000002002344</v>
      </c>
      <c r="H395">
        <f>IF(COUNTIFS(B$2:B395,B395,E$2:E395,E395)=1,1,0)</f>
        <v>1</v>
      </c>
      <c r="I395">
        <f>IF(COUNTIFS(B$2:B395,B395,F$2:F395,F395)=1,1,0)</f>
        <v>0</v>
      </c>
    </row>
    <row r="396" spans="1:9" x14ac:dyDescent="0.3">
      <c r="A396">
        <v>406</v>
      </c>
      <c r="B396">
        <v>46</v>
      </c>
      <c r="C396" s="2">
        <v>44921.5078125</v>
      </c>
      <c r="D396" s="2">
        <v>44921.512187499997</v>
      </c>
      <c r="E396" s="3">
        <f t="shared" si="18"/>
        <v>44921</v>
      </c>
      <c r="F396">
        <f t="shared" si="19"/>
        <v>12</v>
      </c>
      <c r="G396" s="4">
        <f t="shared" si="20"/>
        <v>6.2999999953899533</v>
      </c>
      <c r="H396">
        <f>IF(COUNTIFS(B$2:B396,B396,E$2:E396,E396)=1,1,0)</f>
        <v>1</v>
      </c>
      <c r="I396">
        <f>IF(COUNTIFS(B$2:B396,B396,F$2:F396,F396)=1,1,0)</f>
        <v>1</v>
      </c>
    </row>
    <row r="397" spans="1:9" x14ac:dyDescent="0.3">
      <c r="A397">
        <v>407</v>
      </c>
      <c r="B397">
        <v>46</v>
      </c>
      <c r="C397" s="2">
        <v>44921.725763888891</v>
      </c>
      <c r="D397" s="2">
        <v>44921.732974537037</v>
      </c>
      <c r="E397" s="3">
        <f t="shared" si="18"/>
        <v>44921</v>
      </c>
      <c r="F397">
        <f t="shared" si="19"/>
        <v>12</v>
      </c>
      <c r="G397" s="4">
        <f t="shared" si="20"/>
        <v>10.38333332980983</v>
      </c>
      <c r="H397">
        <f>IF(COUNTIFS(B$2:B397,B397,E$2:E397,E397)=1,1,0)</f>
        <v>0</v>
      </c>
      <c r="I397">
        <f>IF(COUNTIFS(B$2:B397,B397,F$2:F397,F397)=1,1,0)</f>
        <v>0</v>
      </c>
    </row>
    <row r="398" spans="1:9" x14ac:dyDescent="0.3">
      <c r="A398">
        <v>408</v>
      </c>
      <c r="B398">
        <v>46</v>
      </c>
      <c r="C398" s="2">
        <v>44922.074606481481</v>
      </c>
      <c r="D398" s="2">
        <v>44922.078055555554</v>
      </c>
      <c r="E398" s="3">
        <f t="shared" si="18"/>
        <v>44922</v>
      </c>
      <c r="F398">
        <f t="shared" si="19"/>
        <v>12</v>
      </c>
      <c r="G398" s="4">
        <f t="shared" si="20"/>
        <v>4.9666666646953672</v>
      </c>
      <c r="H398">
        <f>IF(COUNTIFS(B$2:B398,B398,E$2:E398,E398)=1,1,0)</f>
        <v>1</v>
      </c>
      <c r="I398">
        <f>IF(COUNTIFS(B$2:B398,B398,F$2:F398,F398)=1,1,0)</f>
        <v>0</v>
      </c>
    </row>
    <row r="399" spans="1:9" x14ac:dyDescent="0.3">
      <c r="A399">
        <v>409</v>
      </c>
      <c r="B399">
        <v>46</v>
      </c>
      <c r="C399" s="2">
        <v>44922.26972222222</v>
      </c>
      <c r="D399" s="2">
        <v>44922.27616898148</v>
      </c>
      <c r="E399" s="3">
        <f t="shared" si="18"/>
        <v>44922</v>
      </c>
      <c r="F399">
        <f t="shared" si="19"/>
        <v>12</v>
      </c>
      <c r="G399" s="4">
        <f t="shared" si="20"/>
        <v>9.2833333346061409</v>
      </c>
      <c r="H399">
        <f>IF(COUNTIFS(B$2:B399,B399,E$2:E399,E399)=1,1,0)</f>
        <v>0</v>
      </c>
      <c r="I399">
        <f>IF(COUNTIFS(B$2:B399,B399,F$2:F399,F399)=1,1,0)</f>
        <v>0</v>
      </c>
    </row>
    <row r="400" spans="1:9" x14ac:dyDescent="0.3">
      <c r="A400">
        <v>410</v>
      </c>
      <c r="B400">
        <v>46</v>
      </c>
      <c r="C400" s="2">
        <v>44922.427233796298</v>
      </c>
      <c r="D400" s="2">
        <v>44922.432939814818</v>
      </c>
      <c r="E400" s="3">
        <f t="shared" si="18"/>
        <v>44922</v>
      </c>
      <c r="F400">
        <f t="shared" si="19"/>
        <v>12</v>
      </c>
      <c r="G400" s="4">
        <f t="shared" si="20"/>
        <v>8.216666670050472</v>
      </c>
      <c r="H400">
        <f>IF(COUNTIFS(B$2:B400,B400,E$2:E400,E400)=1,1,0)</f>
        <v>0</v>
      </c>
      <c r="I400">
        <f>IF(COUNTIFS(B$2:B400,B400,F$2:F400,F400)=1,1,0)</f>
        <v>0</v>
      </c>
    </row>
    <row r="401" spans="1:9" x14ac:dyDescent="0.3">
      <c r="A401">
        <v>411</v>
      </c>
      <c r="B401">
        <v>46</v>
      </c>
      <c r="C401" s="2">
        <v>44922.679178240738</v>
      </c>
      <c r="D401" s="2">
        <v>44922.680636574078</v>
      </c>
      <c r="E401" s="3">
        <f t="shared" si="18"/>
        <v>44922</v>
      </c>
      <c r="F401">
        <f t="shared" si="19"/>
        <v>12</v>
      </c>
      <c r="G401" s="4">
        <f t="shared" si="20"/>
        <v>2.1000000089406967</v>
      </c>
      <c r="H401">
        <f>IF(COUNTIFS(B$2:B401,B401,E$2:E401,E401)=1,1,0)</f>
        <v>0</v>
      </c>
      <c r="I401">
        <f>IF(COUNTIFS(B$2:B401,B401,F$2:F401,F401)=1,1,0)</f>
        <v>0</v>
      </c>
    </row>
    <row r="402" spans="1:9" x14ac:dyDescent="0.3">
      <c r="A402">
        <v>412</v>
      </c>
      <c r="B402">
        <v>46</v>
      </c>
      <c r="C402" s="2">
        <v>44922.951782407406</v>
      </c>
      <c r="D402" s="2">
        <v>44922.960231481484</v>
      </c>
      <c r="E402" s="3">
        <f t="shared" si="18"/>
        <v>44922</v>
      </c>
      <c r="F402">
        <f t="shared" si="19"/>
        <v>12</v>
      </c>
      <c r="G402" s="4">
        <f t="shared" si="20"/>
        <v>12.16666667140089</v>
      </c>
      <c r="H402">
        <f>IF(COUNTIFS(B$2:B402,B402,E$2:E402,E402)=1,1,0)</f>
        <v>0</v>
      </c>
      <c r="I402">
        <f>IF(COUNTIFS(B$2:B402,B402,F$2:F402,F402)=1,1,0)</f>
        <v>0</v>
      </c>
    </row>
    <row r="403" spans="1:9" x14ac:dyDescent="0.3">
      <c r="A403">
        <v>413</v>
      </c>
      <c r="B403">
        <v>46</v>
      </c>
      <c r="C403" s="2">
        <v>44923.214097222219</v>
      </c>
      <c r="D403" s="2">
        <v>44923.221018518518</v>
      </c>
      <c r="E403" s="3">
        <f t="shared" si="18"/>
        <v>44923</v>
      </c>
      <c r="F403">
        <f t="shared" si="19"/>
        <v>12</v>
      </c>
      <c r="G403" s="4">
        <f t="shared" si="20"/>
        <v>9.9666666705161333</v>
      </c>
      <c r="H403">
        <f>IF(COUNTIFS(B$2:B403,B403,E$2:E403,E403)=1,1,0)</f>
        <v>1</v>
      </c>
      <c r="I403">
        <f>IF(COUNTIFS(B$2:B403,B403,F$2:F403,F403)=1,1,0)</f>
        <v>0</v>
      </c>
    </row>
    <row r="404" spans="1:9" x14ac:dyDescent="0.3">
      <c r="A404">
        <v>414</v>
      </c>
      <c r="B404">
        <v>46</v>
      </c>
      <c r="C404" s="2">
        <v>44923.489791666667</v>
      </c>
      <c r="D404" s="2">
        <v>44923.495254629626</v>
      </c>
      <c r="E404" s="3">
        <f t="shared" si="18"/>
        <v>44923</v>
      </c>
      <c r="F404">
        <f t="shared" si="19"/>
        <v>12</v>
      </c>
      <c r="G404" s="4">
        <f t="shared" si="20"/>
        <v>7.8666666615754366</v>
      </c>
      <c r="H404">
        <f>IF(COUNTIFS(B$2:B404,B404,E$2:E404,E404)=1,1,0)</f>
        <v>0</v>
      </c>
      <c r="I404">
        <f>IF(COUNTIFS(B$2:B404,B404,F$2:F404,F404)=1,1,0)</f>
        <v>0</v>
      </c>
    </row>
    <row r="405" spans="1:9" x14ac:dyDescent="0.3">
      <c r="A405">
        <v>415</v>
      </c>
      <c r="B405">
        <v>46</v>
      </c>
      <c r="C405" s="2">
        <v>44923.652766203704</v>
      </c>
      <c r="D405" s="2">
        <v>44923.662662037037</v>
      </c>
      <c r="E405" s="3">
        <f t="shared" si="18"/>
        <v>44923</v>
      </c>
      <c r="F405">
        <f t="shared" si="19"/>
        <v>12</v>
      </c>
      <c r="G405" s="4">
        <f t="shared" si="20"/>
        <v>14.249999999301508</v>
      </c>
      <c r="H405">
        <f>IF(COUNTIFS(B$2:B405,B405,E$2:E405,E405)=1,1,0)</f>
        <v>0</v>
      </c>
      <c r="I405">
        <f>IF(COUNTIFS(B$2:B405,B405,F$2:F405,F405)=1,1,0)</f>
        <v>0</v>
      </c>
    </row>
    <row r="406" spans="1:9" x14ac:dyDescent="0.3">
      <c r="A406">
        <v>416</v>
      </c>
      <c r="B406">
        <v>46</v>
      </c>
      <c r="C406" s="2">
        <v>44923.978587962964</v>
      </c>
      <c r="D406" s="2">
        <v>44923.983935185184</v>
      </c>
      <c r="E406" s="3">
        <f t="shared" si="18"/>
        <v>44923</v>
      </c>
      <c r="F406">
        <f t="shared" si="19"/>
        <v>12</v>
      </c>
      <c r="G406" s="4">
        <f t="shared" si="20"/>
        <v>7.6999999978579581</v>
      </c>
      <c r="H406">
        <f>IF(COUNTIFS(B$2:B406,B406,E$2:E406,E406)=1,1,0)</f>
        <v>0</v>
      </c>
      <c r="I406">
        <f>IF(COUNTIFS(B$2:B406,B406,F$2:F406,F406)=1,1,0)</f>
        <v>0</v>
      </c>
    </row>
    <row r="407" spans="1:9" x14ac:dyDescent="0.3">
      <c r="A407">
        <v>417</v>
      </c>
      <c r="B407">
        <v>46</v>
      </c>
      <c r="C407" s="2">
        <v>44924.312291666669</v>
      </c>
      <c r="D407" s="2">
        <v>44924.319421296299</v>
      </c>
      <c r="E407" s="3">
        <f t="shared" si="18"/>
        <v>44924</v>
      </c>
      <c r="F407">
        <f t="shared" si="19"/>
        <v>12</v>
      </c>
      <c r="G407" s="4">
        <f t="shared" si="20"/>
        <v>10.26666666730307</v>
      </c>
      <c r="H407">
        <f>IF(COUNTIFS(B$2:B407,B407,E$2:E407,E407)=1,1,0)</f>
        <v>1</v>
      </c>
      <c r="I407">
        <f>IF(COUNTIFS(B$2:B407,B407,F$2:F407,F407)=1,1,0)</f>
        <v>0</v>
      </c>
    </row>
    <row r="408" spans="1:9" x14ac:dyDescent="0.3">
      <c r="A408">
        <v>418</v>
      </c>
      <c r="B408">
        <v>46</v>
      </c>
      <c r="C408" s="2">
        <v>44924.500138888892</v>
      </c>
      <c r="D408" s="2">
        <v>44924.503819444442</v>
      </c>
      <c r="E408" s="3">
        <f t="shared" si="18"/>
        <v>44924</v>
      </c>
      <c r="F408">
        <f t="shared" si="19"/>
        <v>12</v>
      </c>
      <c r="G408" s="4">
        <f t="shared" si="20"/>
        <v>5.2999999921303242</v>
      </c>
      <c r="H408">
        <f>IF(COUNTIFS(B$2:B408,B408,E$2:E408,E408)=1,1,0)</f>
        <v>0</v>
      </c>
      <c r="I408">
        <f>IF(COUNTIFS(B$2:B408,B408,F$2:F408,F408)=1,1,0)</f>
        <v>0</v>
      </c>
    </row>
    <row r="409" spans="1:9" x14ac:dyDescent="0.3">
      <c r="A409">
        <v>419</v>
      </c>
      <c r="B409">
        <v>46</v>
      </c>
      <c r="C409" s="2">
        <v>44924.845358796294</v>
      </c>
      <c r="D409" s="2">
        <v>44924.85355324074</v>
      </c>
      <c r="E409" s="3">
        <f t="shared" si="18"/>
        <v>44924</v>
      </c>
      <c r="F409">
        <f t="shared" si="19"/>
        <v>12</v>
      </c>
      <c r="G409" s="4">
        <f t="shared" si="20"/>
        <v>11.800000002840534</v>
      </c>
      <c r="H409">
        <f>IF(COUNTIFS(B$2:B409,B409,E$2:E409,E409)=1,1,0)</f>
        <v>0</v>
      </c>
      <c r="I409">
        <f>IF(COUNTIFS(B$2:B409,B409,F$2:F409,F409)=1,1,0)</f>
        <v>0</v>
      </c>
    </row>
    <row r="410" spans="1:9" x14ac:dyDescent="0.3">
      <c r="A410">
        <v>420</v>
      </c>
      <c r="B410">
        <v>46</v>
      </c>
      <c r="C410" s="2">
        <v>44925.145914351851</v>
      </c>
      <c r="D410" s="2">
        <v>44925.155949074076</v>
      </c>
      <c r="E410" s="3">
        <f t="shared" si="18"/>
        <v>44925</v>
      </c>
      <c r="F410">
        <f t="shared" si="19"/>
        <v>12</v>
      </c>
      <c r="G410" s="4">
        <f t="shared" si="20"/>
        <v>14.450000004144385</v>
      </c>
      <c r="H410">
        <f>IF(COUNTIFS(B$2:B410,B410,E$2:E410,E410)=1,1,0)</f>
        <v>1</v>
      </c>
      <c r="I410">
        <f>IF(COUNTIFS(B$2:B410,B410,F$2:F410,F410)=1,1,0)</f>
        <v>0</v>
      </c>
    </row>
    <row r="411" spans="1:9" x14ac:dyDescent="0.3">
      <c r="A411">
        <v>421</v>
      </c>
      <c r="B411">
        <v>46</v>
      </c>
      <c r="C411" s="2">
        <v>44925.499641203707</v>
      </c>
      <c r="D411" s="2">
        <v>44925.503287037034</v>
      </c>
      <c r="E411" s="3">
        <f t="shared" si="18"/>
        <v>44925</v>
      </c>
      <c r="F411">
        <f t="shared" si="19"/>
        <v>12</v>
      </c>
      <c r="G411" s="4">
        <f t="shared" si="20"/>
        <v>5.2499999909196049</v>
      </c>
      <c r="H411">
        <f>IF(COUNTIFS(B$2:B411,B411,E$2:E411,E411)=1,1,0)</f>
        <v>0</v>
      </c>
      <c r="I411">
        <f>IF(COUNTIFS(B$2:B411,B411,F$2:F411,F411)=1,1,0)</f>
        <v>0</v>
      </c>
    </row>
    <row r="412" spans="1:9" x14ac:dyDescent="0.3">
      <c r="A412">
        <v>422</v>
      </c>
      <c r="B412">
        <v>46</v>
      </c>
      <c r="C412" s="2">
        <v>44925.559374999997</v>
      </c>
      <c r="D412" s="2">
        <v>44925.569537037038</v>
      </c>
      <c r="E412" s="3">
        <f t="shared" si="18"/>
        <v>44925</v>
      </c>
      <c r="F412">
        <f t="shared" si="19"/>
        <v>12</v>
      </c>
      <c r="G412" s="4">
        <f t="shared" si="20"/>
        <v>14.633333338424563</v>
      </c>
      <c r="H412">
        <f>IF(COUNTIFS(B$2:B412,B412,E$2:E412,E412)=1,1,0)</f>
        <v>0</v>
      </c>
      <c r="I412">
        <f>IF(COUNTIFS(B$2:B412,B412,F$2:F412,F412)=1,1,0)</f>
        <v>0</v>
      </c>
    </row>
    <row r="413" spans="1:9" x14ac:dyDescent="0.3">
      <c r="A413">
        <v>423</v>
      </c>
      <c r="B413">
        <v>46</v>
      </c>
      <c r="C413" s="2">
        <v>44925.900902777779</v>
      </c>
      <c r="D413" s="2">
        <v>44925.906655092593</v>
      </c>
      <c r="E413" s="3">
        <f t="shared" si="18"/>
        <v>44925</v>
      </c>
      <c r="F413">
        <f t="shared" si="19"/>
        <v>12</v>
      </c>
      <c r="G413" s="4">
        <f t="shared" si="20"/>
        <v>8.2833333313465118</v>
      </c>
      <c r="H413">
        <f>IF(COUNTIFS(B$2:B413,B413,E$2:E413,E413)=1,1,0)</f>
        <v>0</v>
      </c>
      <c r="I413">
        <f>IF(COUNTIFS(B$2:B413,B413,F$2:F413,F413)=1,1,0)</f>
        <v>0</v>
      </c>
    </row>
    <row r="414" spans="1:9" x14ac:dyDescent="0.3">
      <c r="A414">
        <v>424</v>
      </c>
      <c r="B414">
        <v>46</v>
      </c>
      <c r="C414" s="2">
        <v>44925.976875</v>
      </c>
      <c r="D414" s="2">
        <v>44925.98265046296</v>
      </c>
      <c r="E414" s="3">
        <f t="shared" si="18"/>
        <v>44925</v>
      </c>
      <c r="F414">
        <f t="shared" si="19"/>
        <v>12</v>
      </c>
      <c r="G414" s="4">
        <f t="shared" si="20"/>
        <v>8.3166666619945318</v>
      </c>
      <c r="H414">
        <f>IF(COUNTIFS(B$2:B414,B414,E$2:E414,E414)=1,1,0)</f>
        <v>0</v>
      </c>
      <c r="I414">
        <f>IF(COUNTIFS(B$2:B414,B414,F$2:F414,F414)=1,1,0)</f>
        <v>0</v>
      </c>
    </row>
    <row r="415" spans="1:9" x14ac:dyDescent="0.3">
      <c r="A415">
        <v>425</v>
      </c>
      <c r="B415">
        <v>46</v>
      </c>
      <c r="C415" s="2">
        <v>44926.164166666669</v>
      </c>
      <c r="D415" s="2">
        <v>44926.16851851852</v>
      </c>
      <c r="E415" s="3">
        <f t="shared" si="18"/>
        <v>44926</v>
      </c>
      <c r="F415">
        <f t="shared" si="19"/>
        <v>12</v>
      </c>
      <c r="G415" s="4">
        <f t="shared" si="20"/>
        <v>6.2666666647419333</v>
      </c>
      <c r="H415">
        <f>IF(COUNTIFS(B$2:B415,B415,E$2:E415,E415)=1,1,0)</f>
        <v>1</v>
      </c>
      <c r="I415">
        <f>IF(COUNTIFS(B$2:B415,B415,F$2:F415,F415)=1,1,0)</f>
        <v>0</v>
      </c>
    </row>
    <row r="416" spans="1:9" x14ac:dyDescent="0.3">
      <c r="A416">
        <v>426</v>
      </c>
      <c r="B416">
        <v>46</v>
      </c>
      <c r="C416" s="2">
        <v>44926.272222222222</v>
      </c>
      <c r="D416" s="2">
        <v>44926.280439814815</v>
      </c>
      <c r="E416" s="3">
        <f t="shared" si="18"/>
        <v>44926</v>
      </c>
      <c r="F416">
        <f t="shared" si="19"/>
        <v>12</v>
      </c>
      <c r="G416" s="4">
        <f t="shared" si="20"/>
        <v>11.833333333488554</v>
      </c>
      <c r="H416">
        <f>IF(COUNTIFS(B$2:B416,B416,E$2:E416,E416)=1,1,0)</f>
        <v>0</v>
      </c>
      <c r="I416">
        <f>IF(COUNTIFS(B$2:B416,B416,F$2:F416,F416)=1,1,0)</f>
        <v>0</v>
      </c>
    </row>
    <row r="417" spans="1:9" x14ac:dyDescent="0.3">
      <c r="A417">
        <v>427</v>
      </c>
      <c r="B417">
        <v>46</v>
      </c>
      <c r="C417" s="2">
        <v>44926.517893518518</v>
      </c>
      <c r="D417" s="2">
        <v>44926.523136574076</v>
      </c>
      <c r="E417" s="3">
        <f t="shared" si="18"/>
        <v>44926</v>
      </c>
      <c r="F417">
        <f t="shared" si="19"/>
        <v>12</v>
      </c>
      <c r="G417" s="4">
        <f t="shared" si="20"/>
        <v>7.550000004703179</v>
      </c>
      <c r="H417">
        <f>IF(COUNTIFS(B$2:B417,B417,E$2:E417,E417)=1,1,0)</f>
        <v>0</v>
      </c>
      <c r="I417">
        <f>IF(COUNTIFS(B$2:B417,B417,F$2:F417,F417)=1,1,0)</f>
        <v>0</v>
      </c>
    </row>
    <row r="418" spans="1:9" x14ac:dyDescent="0.3">
      <c r="A418">
        <v>428</v>
      </c>
      <c r="B418">
        <v>46</v>
      </c>
      <c r="C418" s="2">
        <v>44926.592685185184</v>
      </c>
      <c r="D418" s="2">
        <v>44926.601550925923</v>
      </c>
      <c r="E418" s="3">
        <f t="shared" si="18"/>
        <v>44926</v>
      </c>
      <c r="F418">
        <f t="shared" si="19"/>
        <v>12</v>
      </c>
      <c r="G418" s="4">
        <f t="shared" si="20"/>
        <v>12.766666664974764</v>
      </c>
      <c r="H418">
        <f>IF(COUNTIFS(B$2:B418,B418,E$2:E418,E418)=1,1,0)</f>
        <v>0</v>
      </c>
      <c r="I418">
        <f>IF(COUNTIFS(B$2:B418,B418,F$2:F418,F418)=1,1,0)</f>
        <v>0</v>
      </c>
    </row>
    <row r="419" spans="1:9" x14ac:dyDescent="0.3">
      <c r="A419">
        <v>429</v>
      </c>
      <c r="B419">
        <v>46</v>
      </c>
      <c r="C419" s="2">
        <v>44926.895509259259</v>
      </c>
      <c r="D419" s="2">
        <v>44926.903761574074</v>
      </c>
      <c r="E419" s="3">
        <f t="shared" si="18"/>
        <v>44926</v>
      </c>
      <c r="F419">
        <f t="shared" si="19"/>
        <v>12</v>
      </c>
      <c r="G419" s="4">
        <f t="shared" si="20"/>
        <v>11.883333334699273</v>
      </c>
      <c r="H419">
        <f>IF(COUNTIFS(B$2:B419,B419,E$2:E419,E419)=1,1,0)</f>
        <v>0</v>
      </c>
      <c r="I419">
        <f>IF(COUNTIFS(B$2:B419,B419,F$2:F419,F419)=1,1,0)</f>
        <v>0</v>
      </c>
    </row>
    <row r="420" spans="1:9" x14ac:dyDescent="0.3">
      <c r="A420">
        <v>430</v>
      </c>
      <c r="B420">
        <v>46</v>
      </c>
      <c r="C420" s="2">
        <v>44926.982048611113</v>
      </c>
      <c r="D420" s="2">
        <v>44926.991793981484</v>
      </c>
      <c r="E420" s="3">
        <f t="shared" si="18"/>
        <v>44926</v>
      </c>
      <c r="F420">
        <f t="shared" si="19"/>
        <v>12</v>
      </c>
      <c r="G420" s="4">
        <f t="shared" si="20"/>
        <v>14.03333333437331</v>
      </c>
      <c r="H420">
        <f>IF(COUNTIFS(B$2:B420,B420,E$2:E420,E420)=1,1,0)</f>
        <v>0</v>
      </c>
      <c r="I420">
        <f>IF(COUNTIFS(B$2:B420,B420,F$2:F420,F420)=1,1,0)</f>
        <v>0</v>
      </c>
    </row>
    <row r="421" spans="1:9" x14ac:dyDescent="0.3">
      <c r="A421">
        <v>431</v>
      </c>
      <c r="B421">
        <v>47</v>
      </c>
      <c r="C421" s="2">
        <v>44830.015787037039</v>
      </c>
      <c r="D421" s="2">
        <v>44830.021597222221</v>
      </c>
      <c r="E421" s="3">
        <f t="shared" si="18"/>
        <v>44830</v>
      </c>
      <c r="F421">
        <f t="shared" si="19"/>
        <v>9</v>
      </c>
      <c r="G421" s="4">
        <f t="shared" si="20"/>
        <v>8.3666666632052511</v>
      </c>
      <c r="H421">
        <f>IF(COUNTIFS(B$2:B421,B421,E$2:E421,E421)=1,1,0)</f>
        <v>1</v>
      </c>
      <c r="I421">
        <f>IF(COUNTIFS(B$2:B421,B421,F$2:F421,F421)=1,1,0)</f>
        <v>1</v>
      </c>
    </row>
    <row r="422" spans="1:9" x14ac:dyDescent="0.3">
      <c r="A422">
        <v>432</v>
      </c>
      <c r="B422">
        <v>47</v>
      </c>
      <c r="C422" s="2">
        <v>44830.365555555552</v>
      </c>
      <c r="D422" s="2">
        <v>44830.369490740741</v>
      </c>
      <c r="E422" s="3">
        <f t="shared" si="18"/>
        <v>44830</v>
      </c>
      <c r="F422">
        <f t="shared" si="19"/>
        <v>9</v>
      </c>
      <c r="G422" s="4">
        <f t="shared" si="20"/>
        <v>5.6666666711680591</v>
      </c>
      <c r="H422">
        <f>IF(COUNTIFS(B$2:B422,B422,E$2:E422,E422)=1,1,0)</f>
        <v>0</v>
      </c>
      <c r="I422">
        <f>IF(COUNTIFS(B$2:B422,B422,F$2:F422,F422)=1,1,0)</f>
        <v>0</v>
      </c>
    </row>
    <row r="423" spans="1:9" x14ac:dyDescent="0.3">
      <c r="A423">
        <v>433</v>
      </c>
      <c r="B423">
        <v>47</v>
      </c>
      <c r="C423" s="2">
        <v>44830.414282407408</v>
      </c>
      <c r="D423" s="2">
        <v>44830.42</v>
      </c>
      <c r="E423" s="3">
        <f t="shared" si="18"/>
        <v>44830</v>
      </c>
      <c r="F423">
        <f t="shared" si="19"/>
        <v>9</v>
      </c>
      <c r="G423" s="4">
        <f t="shared" si="20"/>
        <v>8.2333333301357925</v>
      </c>
      <c r="H423">
        <f>IF(COUNTIFS(B$2:B423,B423,E$2:E423,E423)=1,1,0)</f>
        <v>0</v>
      </c>
      <c r="I423">
        <f>IF(COUNTIFS(B$2:B423,B423,F$2:F423,F423)=1,1,0)</f>
        <v>0</v>
      </c>
    </row>
    <row r="424" spans="1:9" x14ac:dyDescent="0.3">
      <c r="A424">
        <v>434</v>
      </c>
      <c r="B424">
        <v>47</v>
      </c>
      <c r="C424" s="2">
        <v>44830.536539351851</v>
      </c>
      <c r="D424" s="2">
        <v>44830.543321759258</v>
      </c>
      <c r="E424" s="3">
        <f t="shared" si="18"/>
        <v>44830</v>
      </c>
      <c r="F424">
        <f t="shared" si="19"/>
        <v>9</v>
      </c>
      <c r="G424" s="4">
        <f t="shared" si="20"/>
        <v>9.7666666656732559</v>
      </c>
      <c r="H424">
        <f>IF(COUNTIFS(B$2:B424,B424,E$2:E424,E424)=1,1,0)</f>
        <v>0</v>
      </c>
      <c r="I424">
        <f>IF(COUNTIFS(B$2:B424,B424,F$2:F424,F424)=1,1,0)</f>
        <v>0</v>
      </c>
    </row>
    <row r="425" spans="1:9" x14ac:dyDescent="0.3">
      <c r="A425">
        <v>435</v>
      </c>
      <c r="B425">
        <v>47</v>
      </c>
      <c r="C425" s="2">
        <v>44830.72452546296</v>
      </c>
      <c r="D425" s="2">
        <v>44830.734629629631</v>
      </c>
      <c r="E425" s="3">
        <f t="shared" si="18"/>
        <v>44830</v>
      </c>
      <c r="F425">
        <f t="shared" si="19"/>
        <v>9</v>
      </c>
      <c r="G425" s="4">
        <f t="shared" si="20"/>
        <v>14.550000006565824</v>
      </c>
      <c r="H425">
        <f>IF(COUNTIFS(B$2:B425,B425,E$2:E425,E425)=1,1,0)</f>
        <v>0</v>
      </c>
      <c r="I425">
        <f>IF(COUNTIFS(B$2:B425,B425,F$2:F425,F425)=1,1,0)</f>
        <v>0</v>
      </c>
    </row>
    <row r="426" spans="1:9" x14ac:dyDescent="0.3">
      <c r="A426">
        <v>436</v>
      </c>
      <c r="B426">
        <v>47</v>
      </c>
      <c r="C426" s="2">
        <v>44831.00372685185</v>
      </c>
      <c r="D426" s="2">
        <v>44831.007719907408</v>
      </c>
      <c r="E426" s="3">
        <f t="shared" si="18"/>
        <v>44831</v>
      </c>
      <c r="F426">
        <f t="shared" si="19"/>
        <v>9</v>
      </c>
      <c r="G426" s="4">
        <f t="shared" si="20"/>
        <v>5.7500000030267984</v>
      </c>
      <c r="H426">
        <f>IF(COUNTIFS(B$2:B426,B426,E$2:E426,E426)=1,1,0)</f>
        <v>1</v>
      </c>
      <c r="I426">
        <f>IF(COUNTIFS(B$2:B426,B426,F$2:F426,F426)=1,1,0)</f>
        <v>0</v>
      </c>
    </row>
    <row r="427" spans="1:9" x14ac:dyDescent="0.3">
      <c r="A427">
        <v>437</v>
      </c>
      <c r="B427">
        <v>47</v>
      </c>
      <c r="C427" s="2">
        <v>44831.217256944445</v>
      </c>
      <c r="D427" s="2">
        <v>44831.221562500003</v>
      </c>
      <c r="E427" s="3">
        <f t="shared" si="18"/>
        <v>44831</v>
      </c>
      <c r="F427">
        <f t="shared" si="19"/>
        <v>9</v>
      </c>
      <c r="G427" s="4">
        <f t="shared" si="20"/>
        <v>6.2000000034458935</v>
      </c>
      <c r="H427">
        <f>IF(COUNTIFS(B$2:B427,B427,E$2:E427,E427)=1,1,0)</f>
        <v>0</v>
      </c>
      <c r="I427">
        <f>IF(COUNTIFS(B$2:B427,B427,F$2:F427,F427)=1,1,0)</f>
        <v>0</v>
      </c>
    </row>
    <row r="428" spans="1:9" x14ac:dyDescent="0.3">
      <c r="A428">
        <v>438</v>
      </c>
      <c r="B428">
        <v>47</v>
      </c>
      <c r="C428" s="2">
        <v>44831.471215277779</v>
      </c>
      <c r="D428" s="2">
        <v>44831.475011574075</v>
      </c>
      <c r="E428" s="3">
        <f t="shared" si="18"/>
        <v>44831</v>
      </c>
      <c r="F428">
        <f t="shared" si="19"/>
        <v>9</v>
      </c>
      <c r="G428" s="4">
        <f t="shared" si="20"/>
        <v>5.4666666663251817</v>
      </c>
      <c r="H428">
        <f>IF(COUNTIFS(B$2:B428,B428,E$2:E428,E428)=1,1,0)</f>
        <v>0</v>
      </c>
      <c r="I428">
        <f>IF(COUNTIFS(B$2:B428,B428,F$2:F428,F428)=1,1,0)</f>
        <v>0</v>
      </c>
    </row>
    <row r="429" spans="1:9" x14ac:dyDescent="0.3">
      <c r="A429">
        <v>439</v>
      </c>
      <c r="B429">
        <v>47</v>
      </c>
      <c r="C429" s="2">
        <v>44831.616446759261</v>
      </c>
      <c r="D429" s="2">
        <v>44831.624930555554</v>
      </c>
      <c r="E429" s="3">
        <f t="shared" si="18"/>
        <v>44831</v>
      </c>
      <c r="F429">
        <f t="shared" si="19"/>
        <v>9</v>
      </c>
      <c r="G429" s="4">
        <f t="shared" si="20"/>
        <v>12.21666666213423</v>
      </c>
      <c r="H429">
        <f>IF(COUNTIFS(B$2:B429,B429,E$2:E429,E429)=1,1,0)</f>
        <v>0</v>
      </c>
      <c r="I429">
        <f>IF(COUNTIFS(B$2:B429,B429,F$2:F429,F429)=1,1,0)</f>
        <v>0</v>
      </c>
    </row>
    <row r="430" spans="1:9" x14ac:dyDescent="0.3">
      <c r="A430">
        <v>440</v>
      </c>
      <c r="B430">
        <v>47</v>
      </c>
      <c r="C430" s="2">
        <v>44831.84002314815</v>
      </c>
      <c r="D430" s="2">
        <v>44831.843692129631</v>
      </c>
      <c r="E430" s="3">
        <f t="shared" si="18"/>
        <v>44831</v>
      </c>
      <c r="F430">
        <f t="shared" si="19"/>
        <v>9</v>
      </c>
      <c r="G430" s="4">
        <f t="shared" si="20"/>
        <v>5.2833333320450038</v>
      </c>
      <c r="H430">
        <f>IF(COUNTIFS(B$2:B430,B430,E$2:E430,E430)=1,1,0)</f>
        <v>0</v>
      </c>
      <c r="I430">
        <f>IF(COUNTIFS(B$2:B430,B430,F$2:F430,F430)=1,1,0)</f>
        <v>0</v>
      </c>
    </row>
    <row r="431" spans="1:9" x14ac:dyDescent="0.3">
      <c r="A431">
        <v>441</v>
      </c>
      <c r="B431">
        <v>48</v>
      </c>
      <c r="C431" s="2">
        <v>44751.449664351851</v>
      </c>
      <c r="D431" s="2">
        <v>44751.453541666669</v>
      </c>
      <c r="E431" s="3">
        <f t="shared" si="18"/>
        <v>44751</v>
      </c>
      <c r="F431">
        <f t="shared" si="19"/>
        <v>7</v>
      </c>
      <c r="G431" s="4">
        <f t="shared" si="20"/>
        <v>5.5833333393093199</v>
      </c>
      <c r="H431">
        <f>IF(COUNTIFS(B$2:B431,B431,E$2:E431,E431)=1,1,0)</f>
        <v>1</v>
      </c>
      <c r="I431">
        <f>IF(COUNTIFS(B$2:B431,B431,F$2:F431,F431)=1,1,0)</f>
        <v>1</v>
      </c>
    </row>
    <row r="432" spans="1:9" x14ac:dyDescent="0.3">
      <c r="A432">
        <v>442</v>
      </c>
      <c r="B432">
        <v>48</v>
      </c>
      <c r="C432" s="2">
        <v>44751.656736111108</v>
      </c>
      <c r="D432" s="2">
        <v>44751.660960648151</v>
      </c>
      <c r="E432" s="3">
        <f t="shared" si="18"/>
        <v>44751</v>
      </c>
      <c r="F432">
        <f t="shared" si="19"/>
        <v>7</v>
      </c>
      <c r="G432" s="4">
        <f t="shared" si="20"/>
        <v>6.0833333409391344</v>
      </c>
      <c r="H432">
        <f>IF(COUNTIFS(B$2:B432,B432,E$2:E432,E432)=1,1,0)</f>
        <v>0</v>
      </c>
      <c r="I432">
        <f>IF(COUNTIFS(B$2:B432,B432,F$2:F432,F432)=1,1,0)</f>
        <v>0</v>
      </c>
    </row>
    <row r="433" spans="1:9" x14ac:dyDescent="0.3">
      <c r="A433">
        <v>443</v>
      </c>
      <c r="B433">
        <v>48</v>
      </c>
      <c r="C433" s="2">
        <v>44751.901967592596</v>
      </c>
      <c r="D433" s="2">
        <v>44751.904953703706</v>
      </c>
      <c r="E433" s="3">
        <f t="shared" si="18"/>
        <v>44751</v>
      </c>
      <c r="F433">
        <f t="shared" si="19"/>
        <v>7</v>
      </c>
      <c r="G433" s="4">
        <f t="shared" si="20"/>
        <v>4.2999999993480742</v>
      </c>
      <c r="H433">
        <f>IF(COUNTIFS(B$2:B433,B433,E$2:E433,E433)=1,1,0)</f>
        <v>0</v>
      </c>
      <c r="I433">
        <f>IF(COUNTIFS(B$2:B433,B433,F$2:F433,F433)=1,1,0)</f>
        <v>0</v>
      </c>
    </row>
    <row r="434" spans="1:9" x14ac:dyDescent="0.3">
      <c r="A434">
        <v>444</v>
      </c>
      <c r="B434">
        <v>48</v>
      </c>
      <c r="C434" s="2">
        <v>44752.000914351855</v>
      </c>
      <c r="D434" s="2">
        <v>44752.00849537037</v>
      </c>
      <c r="E434" s="3">
        <f t="shared" si="18"/>
        <v>44752</v>
      </c>
      <c r="F434">
        <f t="shared" si="19"/>
        <v>7</v>
      </c>
      <c r="G434" s="4">
        <f t="shared" si="20"/>
        <v>10.916666662087664</v>
      </c>
      <c r="H434">
        <f>IF(COUNTIFS(B$2:B434,B434,E$2:E434,E434)=1,1,0)</f>
        <v>1</v>
      </c>
      <c r="I434">
        <f>IF(COUNTIFS(B$2:B434,B434,F$2:F434,F434)=1,1,0)</f>
        <v>0</v>
      </c>
    </row>
    <row r="435" spans="1:9" x14ac:dyDescent="0.3">
      <c r="A435">
        <v>445</v>
      </c>
      <c r="B435">
        <v>48</v>
      </c>
      <c r="C435" s="2">
        <v>44752.143310185187</v>
      </c>
      <c r="D435" s="2">
        <v>44752.148495370369</v>
      </c>
      <c r="E435" s="3">
        <f t="shared" si="18"/>
        <v>44752</v>
      </c>
      <c r="F435">
        <f t="shared" si="19"/>
        <v>7</v>
      </c>
      <c r="G435" s="4">
        <f t="shared" si="20"/>
        <v>7.4666666623670608</v>
      </c>
      <c r="H435">
        <f>IF(COUNTIFS(B$2:B435,B435,E$2:E435,E435)=1,1,0)</f>
        <v>0</v>
      </c>
      <c r="I435">
        <f>IF(COUNTIFS(B$2:B435,B435,F$2:F435,F435)=1,1,0)</f>
        <v>0</v>
      </c>
    </row>
    <row r="436" spans="1:9" x14ac:dyDescent="0.3">
      <c r="A436">
        <v>446</v>
      </c>
      <c r="B436">
        <v>48</v>
      </c>
      <c r="C436" s="2">
        <v>44752.479189814818</v>
      </c>
      <c r="D436" s="2">
        <v>44752.487523148149</v>
      </c>
      <c r="E436" s="3">
        <f t="shared" si="18"/>
        <v>44752</v>
      </c>
      <c r="F436">
        <f t="shared" si="19"/>
        <v>7</v>
      </c>
      <c r="G436" s="4">
        <f t="shared" si="20"/>
        <v>11.999999997206032</v>
      </c>
      <c r="H436">
        <f>IF(COUNTIFS(B$2:B436,B436,E$2:E436,E436)=1,1,0)</f>
        <v>0</v>
      </c>
      <c r="I436">
        <f>IF(COUNTIFS(B$2:B436,B436,F$2:F436,F436)=1,1,0)</f>
        <v>0</v>
      </c>
    </row>
    <row r="437" spans="1:9" x14ac:dyDescent="0.3">
      <c r="A437">
        <v>447</v>
      </c>
      <c r="B437">
        <v>48</v>
      </c>
      <c r="C437" s="2">
        <v>44752.586875000001</v>
      </c>
      <c r="D437" s="2">
        <v>44752.591053240743</v>
      </c>
      <c r="E437" s="3">
        <f t="shared" si="18"/>
        <v>44752</v>
      </c>
      <c r="F437">
        <f t="shared" si="19"/>
        <v>7</v>
      </c>
      <c r="G437" s="4">
        <f t="shared" si="20"/>
        <v>6.0166666691657156</v>
      </c>
      <c r="H437">
        <f>IF(COUNTIFS(B$2:B437,B437,E$2:E437,E437)=1,1,0)</f>
        <v>0</v>
      </c>
      <c r="I437">
        <f>IF(COUNTIFS(B$2:B437,B437,F$2:F437,F437)=1,1,0)</f>
        <v>0</v>
      </c>
    </row>
    <row r="438" spans="1:9" x14ac:dyDescent="0.3">
      <c r="A438">
        <v>448</v>
      </c>
      <c r="B438">
        <v>48</v>
      </c>
      <c r="C438" s="2">
        <v>44752.695162037038</v>
      </c>
      <c r="D438" s="2">
        <v>44752.703657407408</v>
      </c>
      <c r="E438" s="3">
        <f t="shared" si="18"/>
        <v>44752</v>
      </c>
      <c r="F438">
        <f t="shared" si="19"/>
        <v>7</v>
      </c>
      <c r="G438" s="4">
        <f t="shared" si="20"/>
        <v>12.23333333269693</v>
      </c>
      <c r="H438">
        <f>IF(COUNTIFS(B$2:B438,B438,E$2:E438,E438)=1,1,0)</f>
        <v>0</v>
      </c>
      <c r="I438">
        <f>IF(COUNTIFS(B$2:B438,B438,F$2:F438,F438)=1,1,0)</f>
        <v>0</v>
      </c>
    </row>
    <row r="439" spans="1:9" x14ac:dyDescent="0.3">
      <c r="A439">
        <v>449</v>
      </c>
      <c r="B439">
        <v>48</v>
      </c>
      <c r="C439" s="2">
        <v>44752.794999999998</v>
      </c>
      <c r="D439" s="2">
        <v>44752.797361111108</v>
      </c>
      <c r="E439" s="3">
        <f t="shared" si="18"/>
        <v>44752</v>
      </c>
      <c r="F439">
        <f t="shared" si="19"/>
        <v>7</v>
      </c>
      <c r="G439" s="4">
        <f t="shared" si="20"/>
        <v>3.3999999985098839</v>
      </c>
      <c r="H439">
        <f>IF(COUNTIFS(B$2:B439,B439,E$2:E439,E439)=1,1,0)</f>
        <v>0</v>
      </c>
      <c r="I439">
        <f>IF(COUNTIFS(B$2:B439,B439,F$2:F439,F439)=1,1,0)</f>
        <v>0</v>
      </c>
    </row>
    <row r="440" spans="1:9" x14ac:dyDescent="0.3">
      <c r="A440">
        <v>450</v>
      </c>
      <c r="B440">
        <v>48</v>
      </c>
      <c r="C440" s="2">
        <v>44752.945763888885</v>
      </c>
      <c r="D440" s="2">
        <v>44752.955833333333</v>
      </c>
      <c r="E440" s="3">
        <f t="shared" si="18"/>
        <v>44752</v>
      </c>
      <c r="F440">
        <f t="shared" si="19"/>
        <v>7</v>
      </c>
      <c r="G440" s="4">
        <f t="shared" si="20"/>
        <v>14.500000005355105</v>
      </c>
      <c r="H440">
        <f>IF(COUNTIFS(B$2:B440,B440,E$2:E440,E440)=1,1,0)</f>
        <v>0</v>
      </c>
      <c r="I440">
        <f>IF(COUNTIFS(B$2:B440,B440,F$2:F440,F440)=1,1,0)</f>
        <v>0</v>
      </c>
    </row>
    <row r="441" spans="1:9" x14ac:dyDescent="0.3">
      <c r="A441">
        <v>451</v>
      </c>
      <c r="B441">
        <v>48</v>
      </c>
      <c r="C441" s="2">
        <v>44753.10664351852</v>
      </c>
      <c r="D441" s="2">
        <v>44753.112835648149</v>
      </c>
      <c r="E441" s="3">
        <f t="shared" si="18"/>
        <v>44753</v>
      </c>
      <c r="F441">
        <f t="shared" si="19"/>
        <v>7</v>
      </c>
      <c r="G441" s="4">
        <f t="shared" si="20"/>
        <v>8.916666666045785</v>
      </c>
      <c r="H441">
        <f>IF(COUNTIFS(B$2:B441,B441,E$2:E441,E441)=1,1,0)</f>
        <v>1</v>
      </c>
      <c r="I441">
        <f>IF(COUNTIFS(B$2:B441,B441,F$2:F441,F441)=1,1,0)</f>
        <v>0</v>
      </c>
    </row>
    <row r="442" spans="1:9" x14ac:dyDescent="0.3">
      <c r="A442">
        <v>452</v>
      </c>
      <c r="B442">
        <v>48</v>
      </c>
      <c r="C442" s="2">
        <v>44753.164270833331</v>
      </c>
      <c r="D442" s="2">
        <v>44753.173171296294</v>
      </c>
      <c r="E442" s="3">
        <f t="shared" si="18"/>
        <v>44753</v>
      </c>
      <c r="F442">
        <f t="shared" si="19"/>
        <v>7</v>
      </c>
      <c r="G442" s="4">
        <f t="shared" si="20"/>
        <v>12.816666666185483</v>
      </c>
      <c r="H442">
        <f>IF(COUNTIFS(B$2:B442,B442,E$2:E442,E442)=1,1,0)</f>
        <v>0</v>
      </c>
      <c r="I442">
        <f>IF(COUNTIFS(B$2:B442,B442,F$2:F442,F442)=1,1,0)</f>
        <v>0</v>
      </c>
    </row>
    <row r="443" spans="1:9" x14ac:dyDescent="0.3">
      <c r="A443">
        <v>453</v>
      </c>
      <c r="B443">
        <v>48</v>
      </c>
      <c r="C443" s="2">
        <v>44753.368460648147</v>
      </c>
      <c r="D443" s="2">
        <v>44753.374594907407</v>
      </c>
      <c r="E443" s="3">
        <f t="shared" si="18"/>
        <v>44753</v>
      </c>
      <c r="F443">
        <f t="shared" si="19"/>
        <v>7</v>
      </c>
      <c r="G443" s="4">
        <f t="shared" si="20"/>
        <v>8.8333333341870457</v>
      </c>
      <c r="H443">
        <f>IF(COUNTIFS(B$2:B443,B443,E$2:E443,E443)=1,1,0)</f>
        <v>0</v>
      </c>
      <c r="I443">
        <f>IF(COUNTIFS(B$2:B443,B443,F$2:F443,F443)=1,1,0)</f>
        <v>0</v>
      </c>
    </row>
    <row r="444" spans="1:9" x14ac:dyDescent="0.3">
      <c r="A444">
        <v>454</v>
      </c>
      <c r="B444">
        <v>48</v>
      </c>
      <c r="C444" s="2">
        <v>44753.499930555554</v>
      </c>
      <c r="D444" s="2">
        <v>44753.505740740744</v>
      </c>
      <c r="E444" s="3">
        <f t="shared" si="18"/>
        <v>44753</v>
      </c>
      <c r="F444">
        <f t="shared" si="19"/>
        <v>7</v>
      </c>
      <c r="G444" s="4">
        <f t="shared" si="20"/>
        <v>8.3666666736826301</v>
      </c>
      <c r="H444">
        <f>IF(COUNTIFS(B$2:B444,B444,E$2:E444,E444)=1,1,0)</f>
        <v>0</v>
      </c>
      <c r="I444">
        <f>IF(COUNTIFS(B$2:B444,B444,F$2:F444,F444)=1,1,0)</f>
        <v>0</v>
      </c>
    </row>
    <row r="445" spans="1:9" x14ac:dyDescent="0.3">
      <c r="A445">
        <v>455</v>
      </c>
      <c r="B445">
        <v>49</v>
      </c>
      <c r="C445" s="2">
        <v>44596.741736111115</v>
      </c>
      <c r="D445" s="2">
        <v>44596.748032407406</v>
      </c>
      <c r="E445" s="3">
        <f t="shared" si="18"/>
        <v>44596</v>
      </c>
      <c r="F445">
        <f t="shared" si="19"/>
        <v>2</v>
      </c>
      <c r="G445" s="4">
        <f t="shared" si="20"/>
        <v>9.066666659200564</v>
      </c>
      <c r="H445">
        <f>IF(COUNTIFS(B$2:B445,B445,E$2:E445,E445)=1,1,0)</f>
        <v>1</v>
      </c>
      <c r="I445">
        <f>IF(COUNTIFS(B$2:B445,B445,F$2:F445,F445)=1,1,0)</f>
        <v>1</v>
      </c>
    </row>
    <row r="446" spans="1:9" x14ac:dyDescent="0.3">
      <c r="A446">
        <v>456</v>
      </c>
      <c r="B446">
        <v>49</v>
      </c>
      <c r="C446" s="2">
        <v>44596.951643518521</v>
      </c>
      <c r="D446" s="2">
        <v>44596.954664351855</v>
      </c>
      <c r="E446" s="3">
        <f t="shared" si="18"/>
        <v>44596</v>
      </c>
      <c r="F446">
        <f t="shared" si="19"/>
        <v>2</v>
      </c>
      <c r="G446" s="4">
        <f t="shared" si="20"/>
        <v>4.3500000005587935</v>
      </c>
      <c r="H446">
        <f>IF(COUNTIFS(B$2:B446,B446,E$2:E446,E446)=1,1,0)</f>
        <v>0</v>
      </c>
      <c r="I446">
        <f>IF(COUNTIFS(B$2:B446,B446,F$2:F446,F446)=1,1,0)</f>
        <v>0</v>
      </c>
    </row>
    <row r="447" spans="1:9" x14ac:dyDescent="0.3">
      <c r="A447">
        <v>457</v>
      </c>
      <c r="B447">
        <v>49</v>
      </c>
      <c r="C447" s="2">
        <v>44597.091863425929</v>
      </c>
      <c r="D447" s="2">
        <v>44597.097395833334</v>
      </c>
      <c r="E447" s="3">
        <f t="shared" si="18"/>
        <v>44597</v>
      </c>
      <c r="F447">
        <f t="shared" si="19"/>
        <v>2</v>
      </c>
      <c r="G447" s="4">
        <f t="shared" si="20"/>
        <v>7.9666666639968753</v>
      </c>
      <c r="H447">
        <f>IF(COUNTIFS(B$2:B447,B447,E$2:E447,E447)=1,1,0)</f>
        <v>1</v>
      </c>
      <c r="I447">
        <f>IF(COUNTIFS(B$2:B447,B447,F$2:F447,F447)=1,1,0)</f>
        <v>0</v>
      </c>
    </row>
    <row r="448" spans="1:9" x14ac:dyDescent="0.3">
      <c r="A448">
        <v>458</v>
      </c>
      <c r="B448">
        <v>50</v>
      </c>
      <c r="C448" s="2">
        <v>44750.132939814815</v>
      </c>
      <c r="D448" s="2">
        <v>44750.134814814817</v>
      </c>
      <c r="E448" s="3">
        <f t="shared" si="18"/>
        <v>44750</v>
      </c>
      <c r="F448">
        <f t="shared" si="19"/>
        <v>7</v>
      </c>
      <c r="G448" s="4">
        <f t="shared" si="20"/>
        <v>2.700000002514571</v>
      </c>
      <c r="H448">
        <f>IF(COUNTIFS(B$2:B448,B448,E$2:E448,E448)=1,1,0)</f>
        <v>1</v>
      </c>
      <c r="I448">
        <f>IF(COUNTIFS(B$2:B448,B448,F$2:F448,F448)=1,1,0)</f>
        <v>1</v>
      </c>
    </row>
    <row r="449" spans="1:9" x14ac:dyDescent="0.3">
      <c r="A449">
        <v>459</v>
      </c>
      <c r="B449">
        <v>50</v>
      </c>
      <c r="C449" s="2">
        <v>44750.299560185187</v>
      </c>
      <c r="D449" s="2">
        <v>44750.305011574077</v>
      </c>
      <c r="E449" s="3">
        <f t="shared" si="18"/>
        <v>44750</v>
      </c>
      <c r="F449">
        <f t="shared" si="19"/>
        <v>7</v>
      </c>
      <c r="G449" s="4">
        <f t="shared" si="20"/>
        <v>7.8500000014901161</v>
      </c>
      <c r="H449">
        <f>IF(COUNTIFS(B$2:B449,B449,E$2:E449,E449)=1,1,0)</f>
        <v>0</v>
      </c>
      <c r="I449">
        <f>IF(COUNTIFS(B$2:B449,B449,F$2:F449,F449)=1,1,0)</f>
        <v>0</v>
      </c>
    </row>
    <row r="450" spans="1:9" x14ac:dyDescent="0.3">
      <c r="A450">
        <v>460</v>
      </c>
      <c r="B450">
        <v>50</v>
      </c>
      <c r="C450" s="2">
        <v>44750.465914351851</v>
      </c>
      <c r="D450" s="2">
        <v>44750.471446759257</v>
      </c>
      <c r="E450" s="3">
        <f t="shared" ref="E450:E513" si="21">INT(C450)</f>
        <v>44750</v>
      </c>
      <c r="F450">
        <f t="shared" ref="F450:F513" si="22">MONTH(C450)</f>
        <v>7</v>
      </c>
      <c r="G450" s="4">
        <f t="shared" ref="G450:G513" si="23">(D450-C450)*1440</f>
        <v>7.9666666639968753</v>
      </c>
      <c r="H450">
        <f>IF(COUNTIFS(B$2:B450,B450,E$2:E450,E450)=1,1,0)</f>
        <v>0</v>
      </c>
      <c r="I450">
        <f>IF(COUNTIFS(B$2:B450,B450,F$2:F450,F450)=1,1,0)</f>
        <v>0</v>
      </c>
    </row>
    <row r="451" spans="1:9" x14ac:dyDescent="0.3">
      <c r="A451">
        <v>461</v>
      </c>
      <c r="B451">
        <v>50</v>
      </c>
      <c r="C451" s="2">
        <v>44750.673796296294</v>
      </c>
      <c r="D451" s="2">
        <v>44750.684398148151</v>
      </c>
      <c r="E451" s="3">
        <f t="shared" si="21"/>
        <v>44750</v>
      </c>
      <c r="F451">
        <f t="shared" si="22"/>
        <v>7</v>
      </c>
      <c r="G451" s="4">
        <f t="shared" si="23"/>
        <v>15.266666673123837</v>
      </c>
      <c r="H451">
        <f>IF(COUNTIFS(B$2:B451,B451,E$2:E451,E451)=1,1,0)</f>
        <v>0</v>
      </c>
      <c r="I451">
        <f>IF(COUNTIFS(B$2:B451,B451,F$2:F451,F451)=1,1,0)</f>
        <v>0</v>
      </c>
    </row>
    <row r="452" spans="1:9" x14ac:dyDescent="0.3">
      <c r="A452">
        <v>462</v>
      </c>
      <c r="B452">
        <v>50</v>
      </c>
      <c r="C452" s="2">
        <v>44750.916377314818</v>
      </c>
      <c r="D452" s="2">
        <v>44750.925254629627</v>
      </c>
      <c r="E452" s="3">
        <f t="shared" si="21"/>
        <v>44750</v>
      </c>
      <c r="F452">
        <f t="shared" si="22"/>
        <v>7</v>
      </c>
      <c r="G452" s="4">
        <f t="shared" si="23"/>
        <v>12.783333325060084</v>
      </c>
      <c r="H452">
        <f>IF(COUNTIFS(B$2:B452,B452,E$2:E452,E452)=1,1,0)</f>
        <v>0</v>
      </c>
      <c r="I452">
        <f>IF(COUNTIFS(B$2:B452,B452,F$2:F452,F452)=1,1,0)</f>
        <v>0</v>
      </c>
    </row>
    <row r="453" spans="1:9" x14ac:dyDescent="0.3">
      <c r="A453">
        <v>463</v>
      </c>
      <c r="B453">
        <v>50</v>
      </c>
      <c r="C453" s="2">
        <v>44751.21638888889</v>
      </c>
      <c r="D453" s="2">
        <v>44751.219606481478</v>
      </c>
      <c r="E453" s="3">
        <f t="shared" si="21"/>
        <v>44751</v>
      </c>
      <c r="F453">
        <f t="shared" si="22"/>
        <v>7</v>
      </c>
      <c r="G453" s="4">
        <f t="shared" si="23"/>
        <v>4.6333333267830312</v>
      </c>
      <c r="H453">
        <f>IF(COUNTIFS(B$2:B453,B453,E$2:E453,E453)=1,1,0)</f>
        <v>1</v>
      </c>
      <c r="I453">
        <f>IF(COUNTIFS(B$2:B453,B453,F$2:F453,F453)=1,1,0)</f>
        <v>0</v>
      </c>
    </row>
    <row r="454" spans="1:9" x14ac:dyDescent="0.3">
      <c r="A454">
        <v>464</v>
      </c>
      <c r="B454">
        <v>50</v>
      </c>
      <c r="C454" s="2">
        <v>44751.347337962965</v>
      </c>
      <c r="D454" s="2">
        <v>44751.350266203706</v>
      </c>
      <c r="E454" s="3">
        <f t="shared" si="21"/>
        <v>44751</v>
      </c>
      <c r="F454">
        <f t="shared" si="22"/>
        <v>7</v>
      </c>
      <c r="G454" s="4">
        <f t="shared" si="23"/>
        <v>4.2166666674893349</v>
      </c>
      <c r="H454">
        <f>IF(COUNTIFS(B$2:B454,B454,E$2:E454,E454)=1,1,0)</f>
        <v>0</v>
      </c>
      <c r="I454">
        <f>IF(COUNTIFS(B$2:B454,B454,F$2:F454,F454)=1,1,0)</f>
        <v>0</v>
      </c>
    </row>
    <row r="455" spans="1:9" x14ac:dyDescent="0.3">
      <c r="A455">
        <v>465</v>
      </c>
      <c r="B455">
        <v>50</v>
      </c>
      <c r="C455" s="2">
        <v>44751.657002314816</v>
      </c>
      <c r="D455" s="2">
        <v>44751.666944444441</v>
      </c>
      <c r="E455" s="3">
        <f t="shared" si="21"/>
        <v>44751</v>
      </c>
      <c r="F455">
        <f t="shared" si="22"/>
        <v>7</v>
      </c>
      <c r="G455" s="4">
        <f t="shared" si="23"/>
        <v>14.316666660597548</v>
      </c>
      <c r="H455">
        <f>IF(COUNTIFS(B$2:B455,B455,E$2:E455,E455)=1,1,0)</f>
        <v>0</v>
      </c>
      <c r="I455">
        <f>IF(COUNTIFS(B$2:B455,B455,F$2:F455,F455)=1,1,0)</f>
        <v>0</v>
      </c>
    </row>
    <row r="456" spans="1:9" x14ac:dyDescent="0.3">
      <c r="A456">
        <v>466</v>
      </c>
      <c r="B456">
        <v>50</v>
      </c>
      <c r="C456" s="2">
        <v>44751.820034722223</v>
      </c>
      <c r="D456" s="2">
        <v>44751.826354166667</v>
      </c>
      <c r="E456" s="3">
        <f t="shared" si="21"/>
        <v>44751</v>
      </c>
      <c r="F456">
        <f t="shared" si="22"/>
        <v>7</v>
      </c>
      <c r="G456" s="4">
        <f t="shared" si="23"/>
        <v>9.1000000003259629</v>
      </c>
      <c r="H456">
        <f>IF(COUNTIFS(B$2:B456,B456,E$2:E456,E456)=1,1,0)</f>
        <v>0</v>
      </c>
      <c r="I456">
        <f>IF(COUNTIFS(B$2:B456,B456,F$2:F456,F456)=1,1,0)</f>
        <v>0</v>
      </c>
    </row>
    <row r="457" spans="1:9" x14ac:dyDescent="0.3">
      <c r="A457">
        <v>467</v>
      </c>
      <c r="B457">
        <v>51</v>
      </c>
      <c r="C457" s="2">
        <v>44668.175000000003</v>
      </c>
      <c r="D457" s="2">
        <v>44668.179861111108</v>
      </c>
      <c r="E457" s="3">
        <f t="shared" si="21"/>
        <v>44668</v>
      </c>
      <c r="F457">
        <f t="shared" si="22"/>
        <v>4</v>
      </c>
      <c r="G457" s="4">
        <f t="shared" si="23"/>
        <v>6.9999999913852662</v>
      </c>
      <c r="H457">
        <f>IF(COUNTIFS(B$2:B457,B457,E$2:E457,E457)=1,1,0)</f>
        <v>1</v>
      </c>
      <c r="I457">
        <f>IF(COUNTIFS(B$2:B457,B457,F$2:F457,F457)=1,1,0)</f>
        <v>1</v>
      </c>
    </row>
    <row r="458" spans="1:9" x14ac:dyDescent="0.3">
      <c r="A458">
        <v>468</v>
      </c>
      <c r="B458">
        <v>51</v>
      </c>
      <c r="C458" s="2">
        <v>44668.440439814818</v>
      </c>
      <c r="D458" s="2">
        <v>44668.444675925923</v>
      </c>
      <c r="E458" s="3">
        <f t="shared" si="21"/>
        <v>44668</v>
      </c>
      <c r="F458">
        <f t="shared" si="22"/>
        <v>4</v>
      </c>
      <c r="G458" s="4">
        <f t="shared" si="23"/>
        <v>6.0999999905470759</v>
      </c>
      <c r="H458">
        <f>IF(COUNTIFS(B$2:B458,B458,E$2:E458,E458)=1,1,0)</f>
        <v>0</v>
      </c>
      <c r="I458">
        <f>IF(COUNTIFS(B$2:B458,B458,F$2:F458,F458)=1,1,0)</f>
        <v>0</v>
      </c>
    </row>
    <row r="459" spans="1:9" x14ac:dyDescent="0.3">
      <c r="A459">
        <v>469</v>
      </c>
      <c r="B459">
        <v>52</v>
      </c>
      <c r="C459" s="2">
        <v>44585.785833333335</v>
      </c>
      <c r="D459" s="2">
        <v>44585.793055555558</v>
      </c>
      <c r="E459" s="3">
        <f t="shared" si="21"/>
        <v>44585</v>
      </c>
      <c r="F459">
        <f t="shared" si="22"/>
        <v>1</v>
      </c>
      <c r="G459" s="4">
        <f t="shared" si="23"/>
        <v>10.400000000372529</v>
      </c>
      <c r="H459">
        <f>IF(COUNTIFS(B$2:B459,B459,E$2:E459,E459)=1,1,0)</f>
        <v>1</v>
      </c>
      <c r="I459">
        <f>IF(COUNTIFS(B$2:B459,B459,F$2:F459,F459)=1,1,0)</f>
        <v>1</v>
      </c>
    </row>
    <row r="460" spans="1:9" x14ac:dyDescent="0.3">
      <c r="A460">
        <v>470</v>
      </c>
      <c r="B460">
        <v>52</v>
      </c>
      <c r="C460" s="2">
        <v>44585.97016203704</v>
      </c>
      <c r="D460" s="2">
        <v>44585.975300925929</v>
      </c>
      <c r="E460" s="3">
        <f t="shared" si="21"/>
        <v>44585</v>
      </c>
      <c r="F460">
        <f t="shared" si="22"/>
        <v>1</v>
      </c>
      <c r="G460" s="4">
        <f t="shared" si="23"/>
        <v>7.400000001071021</v>
      </c>
      <c r="H460">
        <f>IF(COUNTIFS(B$2:B460,B460,E$2:E460,E460)=1,1,0)</f>
        <v>0</v>
      </c>
      <c r="I460">
        <f>IF(COUNTIFS(B$2:B460,B460,F$2:F460,F460)=1,1,0)</f>
        <v>0</v>
      </c>
    </row>
    <row r="461" spans="1:9" x14ac:dyDescent="0.3">
      <c r="A461">
        <v>471</v>
      </c>
      <c r="B461">
        <v>53</v>
      </c>
      <c r="C461" s="2">
        <v>44921.535717592589</v>
      </c>
      <c r="D461" s="2">
        <v>44921.542175925926</v>
      </c>
      <c r="E461" s="3">
        <f t="shared" si="21"/>
        <v>44921</v>
      </c>
      <c r="F461">
        <f t="shared" si="22"/>
        <v>12</v>
      </c>
      <c r="G461" s="4">
        <f t="shared" si="23"/>
        <v>9.3000000051688403</v>
      </c>
      <c r="H461">
        <f>IF(COUNTIFS(B$2:B461,B461,E$2:E461,E461)=1,1,0)</f>
        <v>1</v>
      </c>
      <c r="I461">
        <f>IF(COUNTIFS(B$2:B461,B461,F$2:F461,F461)=1,1,0)</f>
        <v>1</v>
      </c>
    </row>
    <row r="462" spans="1:9" x14ac:dyDescent="0.3">
      <c r="A462">
        <v>472</v>
      </c>
      <c r="B462">
        <v>53</v>
      </c>
      <c r="C462" s="2">
        <v>44921.65084490741</v>
      </c>
      <c r="D462" s="2">
        <v>44921.65693287037</v>
      </c>
      <c r="E462" s="3">
        <f t="shared" si="21"/>
        <v>44921</v>
      </c>
      <c r="F462">
        <f t="shared" si="22"/>
        <v>12</v>
      </c>
      <c r="G462" s="4">
        <f t="shared" si="23"/>
        <v>8.7666666624136269</v>
      </c>
      <c r="H462">
        <f>IF(COUNTIFS(B$2:B462,B462,E$2:E462,E462)=1,1,0)</f>
        <v>0</v>
      </c>
      <c r="I462">
        <f>IF(COUNTIFS(B$2:B462,B462,F$2:F462,F462)=1,1,0)</f>
        <v>0</v>
      </c>
    </row>
    <row r="463" spans="1:9" x14ac:dyDescent="0.3">
      <c r="A463">
        <v>473</v>
      </c>
      <c r="B463">
        <v>53</v>
      </c>
      <c r="C463" s="2">
        <v>44921.782997685186</v>
      </c>
      <c r="D463" s="2">
        <v>44921.790266203701</v>
      </c>
      <c r="E463" s="3">
        <f t="shared" si="21"/>
        <v>44921</v>
      </c>
      <c r="F463">
        <f t="shared" si="22"/>
        <v>12</v>
      </c>
      <c r="G463" s="4">
        <f t="shared" si="23"/>
        <v>10.466666661668569</v>
      </c>
      <c r="H463">
        <f>IF(COUNTIFS(B$2:B463,B463,E$2:E463,E463)=1,1,0)</f>
        <v>0</v>
      </c>
      <c r="I463">
        <f>IF(COUNTIFS(B$2:B463,B463,F$2:F463,F463)=1,1,0)</f>
        <v>0</v>
      </c>
    </row>
    <row r="464" spans="1:9" x14ac:dyDescent="0.3">
      <c r="A464">
        <v>474</v>
      </c>
      <c r="B464">
        <v>53</v>
      </c>
      <c r="C464" s="2">
        <v>44922.128240740742</v>
      </c>
      <c r="D464" s="2">
        <v>44922.131932870368</v>
      </c>
      <c r="E464" s="3">
        <f t="shared" si="21"/>
        <v>44922</v>
      </c>
      <c r="F464">
        <f t="shared" si="22"/>
        <v>12</v>
      </c>
      <c r="G464" s="4">
        <f t="shared" si="23"/>
        <v>5.3166666626930237</v>
      </c>
      <c r="H464">
        <f>IF(COUNTIFS(B$2:B464,B464,E$2:E464,E464)=1,1,0)</f>
        <v>1</v>
      </c>
      <c r="I464">
        <f>IF(COUNTIFS(B$2:B464,B464,F$2:F464,F464)=1,1,0)</f>
        <v>0</v>
      </c>
    </row>
    <row r="465" spans="1:9" x14ac:dyDescent="0.3">
      <c r="A465">
        <v>475</v>
      </c>
      <c r="B465">
        <v>53</v>
      </c>
      <c r="C465" s="2">
        <v>44922.189328703702</v>
      </c>
      <c r="D465" s="2">
        <v>44922.193958333337</v>
      </c>
      <c r="E465" s="3">
        <f t="shared" si="21"/>
        <v>44922</v>
      </c>
      <c r="F465">
        <f t="shared" si="22"/>
        <v>12</v>
      </c>
      <c r="G465" s="4">
        <f t="shared" si="23"/>
        <v>6.6666666744276881</v>
      </c>
      <c r="H465">
        <f>IF(COUNTIFS(B$2:B465,B465,E$2:E465,E465)=1,1,0)</f>
        <v>0</v>
      </c>
      <c r="I465">
        <f>IF(COUNTIFS(B$2:B465,B465,F$2:F465,F465)=1,1,0)</f>
        <v>0</v>
      </c>
    </row>
    <row r="466" spans="1:9" x14ac:dyDescent="0.3">
      <c r="A466">
        <v>476</v>
      </c>
      <c r="B466">
        <v>53</v>
      </c>
      <c r="C466" s="2">
        <v>44922.529502314814</v>
      </c>
      <c r="D466" s="2">
        <v>44922.536932870367</v>
      </c>
      <c r="E466" s="3">
        <f t="shared" si="21"/>
        <v>44922</v>
      </c>
      <c r="F466">
        <f t="shared" si="22"/>
        <v>12</v>
      </c>
      <c r="G466" s="4">
        <f t="shared" si="23"/>
        <v>10.699999997159466</v>
      </c>
      <c r="H466">
        <f>IF(COUNTIFS(B$2:B466,B466,E$2:E466,E466)=1,1,0)</f>
        <v>0</v>
      </c>
      <c r="I466">
        <f>IF(COUNTIFS(B$2:B466,B466,F$2:F466,F466)=1,1,0)</f>
        <v>0</v>
      </c>
    </row>
    <row r="467" spans="1:9" x14ac:dyDescent="0.3">
      <c r="A467">
        <v>477</v>
      </c>
      <c r="B467">
        <v>53</v>
      </c>
      <c r="C467" s="2">
        <v>44922.858912037038</v>
      </c>
      <c r="D467" s="2">
        <v>44922.864687499998</v>
      </c>
      <c r="E467" s="3">
        <f t="shared" si="21"/>
        <v>44922</v>
      </c>
      <c r="F467">
        <f t="shared" si="22"/>
        <v>12</v>
      </c>
      <c r="G467" s="4">
        <f t="shared" si="23"/>
        <v>8.3166666619945318</v>
      </c>
      <c r="H467">
        <f>IF(COUNTIFS(B$2:B467,B467,E$2:E467,E467)=1,1,0)</f>
        <v>0</v>
      </c>
      <c r="I467">
        <f>IF(COUNTIFS(B$2:B467,B467,F$2:F467,F467)=1,1,0)</f>
        <v>0</v>
      </c>
    </row>
    <row r="468" spans="1:9" x14ac:dyDescent="0.3">
      <c r="A468">
        <v>478</v>
      </c>
      <c r="B468">
        <v>53</v>
      </c>
      <c r="C468" s="2">
        <v>44923.181284722225</v>
      </c>
      <c r="D468" s="2">
        <v>44923.190740740742</v>
      </c>
      <c r="E468" s="3">
        <f t="shared" si="21"/>
        <v>44923</v>
      </c>
      <c r="F468">
        <f t="shared" si="22"/>
        <v>12</v>
      </c>
      <c r="G468" s="4">
        <f t="shared" si="23"/>
        <v>13.616666664602235</v>
      </c>
      <c r="H468">
        <f>IF(COUNTIFS(B$2:B468,B468,E$2:E468,E468)=1,1,0)</f>
        <v>1</v>
      </c>
      <c r="I468">
        <f>IF(COUNTIFS(B$2:B468,B468,F$2:F468,F468)=1,1,0)</f>
        <v>0</v>
      </c>
    </row>
    <row r="469" spans="1:9" x14ac:dyDescent="0.3">
      <c r="A469">
        <v>479</v>
      </c>
      <c r="B469">
        <v>53</v>
      </c>
      <c r="C469" s="2">
        <v>44923.300092592595</v>
      </c>
      <c r="D469" s="2">
        <v>44923.308333333334</v>
      </c>
      <c r="E469" s="3">
        <f t="shared" si="21"/>
        <v>44923</v>
      </c>
      <c r="F469">
        <f t="shared" si="22"/>
        <v>12</v>
      </c>
      <c r="G469" s="4">
        <f t="shared" si="23"/>
        <v>11.866666664136574</v>
      </c>
      <c r="H469">
        <f>IF(COUNTIFS(B$2:B469,B469,E$2:E469,E469)=1,1,0)</f>
        <v>0</v>
      </c>
      <c r="I469">
        <f>IF(COUNTIFS(B$2:B469,B469,F$2:F469,F469)=1,1,0)</f>
        <v>0</v>
      </c>
    </row>
    <row r="470" spans="1:9" x14ac:dyDescent="0.3">
      <c r="A470">
        <v>480</v>
      </c>
      <c r="B470">
        <v>53</v>
      </c>
      <c r="C470" s="2">
        <v>44923.475729166668</v>
      </c>
      <c r="D470" s="2">
        <v>44923.481365740743</v>
      </c>
      <c r="E470" s="3">
        <f t="shared" si="21"/>
        <v>44923</v>
      </c>
      <c r="F470">
        <f t="shared" si="22"/>
        <v>12</v>
      </c>
      <c r="G470" s="4">
        <f t="shared" si="23"/>
        <v>8.1166666676290333</v>
      </c>
      <c r="H470">
        <f>IF(COUNTIFS(B$2:B470,B470,E$2:E470,E470)=1,1,0)</f>
        <v>0</v>
      </c>
      <c r="I470">
        <f>IF(COUNTIFS(B$2:B470,B470,F$2:F470,F470)=1,1,0)</f>
        <v>0</v>
      </c>
    </row>
    <row r="471" spans="1:9" x14ac:dyDescent="0.3">
      <c r="A471">
        <v>481</v>
      </c>
      <c r="B471">
        <v>53</v>
      </c>
      <c r="C471" s="2">
        <v>44923.610543981478</v>
      </c>
      <c r="D471" s="2">
        <v>44923.614652777775</v>
      </c>
      <c r="E471" s="3">
        <f t="shared" si="21"/>
        <v>44923</v>
      </c>
      <c r="F471">
        <f t="shared" si="22"/>
        <v>12</v>
      </c>
      <c r="G471" s="4">
        <f t="shared" si="23"/>
        <v>5.9166666667442769</v>
      </c>
      <c r="H471">
        <f>IF(COUNTIFS(B$2:B471,B471,E$2:E471,E471)=1,1,0)</f>
        <v>0</v>
      </c>
      <c r="I471">
        <f>IF(COUNTIFS(B$2:B471,B471,F$2:F471,F471)=1,1,0)</f>
        <v>0</v>
      </c>
    </row>
    <row r="472" spans="1:9" x14ac:dyDescent="0.3">
      <c r="A472">
        <v>482</v>
      </c>
      <c r="B472">
        <v>54</v>
      </c>
      <c r="C472" s="2">
        <v>44779.574004629627</v>
      </c>
      <c r="D472" s="2">
        <v>44779.579293981478</v>
      </c>
      <c r="E472" s="3">
        <f t="shared" si="21"/>
        <v>44779</v>
      </c>
      <c r="F472">
        <f t="shared" si="22"/>
        <v>8</v>
      </c>
      <c r="G472" s="4">
        <f t="shared" si="23"/>
        <v>7.6166666659992188</v>
      </c>
      <c r="H472">
        <f>IF(COUNTIFS(B$2:B472,B472,E$2:E472,E472)=1,1,0)</f>
        <v>1</v>
      </c>
      <c r="I472">
        <f>IF(COUNTIFS(B$2:B472,B472,F$2:F472,F472)=1,1,0)</f>
        <v>1</v>
      </c>
    </row>
    <row r="473" spans="1:9" x14ac:dyDescent="0.3">
      <c r="A473">
        <v>483</v>
      </c>
      <c r="B473">
        <v>54</v>
      </c>
      <c r="C473" s="2">
        <v>44779.742696759262</v>
      </c>
      <c r="D473" s="2">
        <v>44779.744849537034</v>
      </c>
      <c r="E473" s="3">
        <f t="shared" si="21"/>
        <v>44779</v>
      </c>
      <c r="F473">
        <f t="shared" si="22"/>
        <v>8</v>
      </c>
      <c r="G473" s="4">
        <f t="shared" si="23"/>
        <v>3.0999999912455678</v>
      </c>
      <c r="H473">
        <f>IF(COUNTIFS(B$2:B473,B473,E$2:E473,E473)=1,1,0)</f>
        <v>0</v>
      </c>
      <c r="I473">
        <f>IF(COUNTIFS(B$2:B473,B473,F$2:F473,F473)=1,1,0)</f>
        <v>0</v>
      </c>
    </row>
    <row r="474" spans="1:9" x14ac:dyDescent="0.3">
      <c r="A474">
        <v>484</v>
      </c>
      <c r="B474">
        <v>54</v>
      </c>
      <c r="C474" s="2">
        <v>44780.058900462966</v>
      </c>
      <c r="D474" s="2">
        <v>44780.065104166664</v>
      </c>
      <c r="E474" s="3">
        <f t="shared" si="21"/>
        <v>44780</v>
      </c>
      <c r="F474">
        <f t="shared" si="22"/>
        <v>8</v>
      </c>
      <c r="G474" s="4">
        <f t="shared" si="23"/>
        <v>8.9333333261311054</v>
      </c>
      <c r="H474">
        <f>IF(COUNTIFS(B$2:B474,B474,E$2:E474,E474)=1,1,0)</f>
        <v>1</v>
      </c>
      <c r="I474">
        <f>IF(COUNTIFS(B$2:B474,B474,F$2:F474,F474)=1,1,0)</f>
        <v>0</v>
      </c>
    </row>
    <row r="475" spans="1:9" x14ac:dyDescent="0.3">
      <c r="A475">
        <v>485</v>
      </c>
      <c r="B475">
        <v>54</v>
      </c>
      <c r="C475" s="2">
        <v>44780.264965277776</v>
      </c>
      <c r="D475" s="2">
        <v>44780.270486111112</v>
      </c>
      <c r="E475" s="3">
        <f t="shared" si="21"/>
        <v>44780</v>
      </c>
      <c r="F475">
        <f t="shared" si="22"/>
        <v>8</v>
      </c>
      <c r="G475" s="4">
        <f t="shared" si="23"/>
        <v>7.9500000039115548</v>
      </c>
      <c r="H475">
        <f>IF(COUNTIFS(B$2:B475,B475,E$2:E475,E475)=1,1,0)</f>
        <v>0</v>
      </c>
      <c r="I475">
        <f>IF(COUNTIFS(B$2:B475,B475,F$2:F475,F475)=1,1,0)</f>
        <v>0</v>
      </c>
    </row>
    <row r="476" spans="1:9" x14ac:dyDescent="0.3">
      <c r="A476">
        <v>486</v>
      </c>
      <c r="B476">
        <v>55</v>
      </c>
      <c r="C476" s="2">
        <v>44866.929907407408</v>
      </c>
      <c r="D476" s="2">
        <v>44866.939120370371</v>
      </c>
      <c r="E476" s="3">
        <f t="shared" si="21"/>
        <v>44866</v>
      </c>
      <c r="F476">
        <f t="shared" si="22"/>
        <v>11</v>
      </c>
      <c r="G476" s="4">
        <f t="shared" si="23"/>
        <v>13.266666666604578</v>
      </c>
      <c r="H476">
        <f>IF(COUNTIFS(B$2:B476,B476,E$2:E476,E476)=1,1,0)</f>
        <v>1</v>
      </c>
      <c r="I476">
        <f>IF(COUNTIFS(B$2:B476,B476,F$2:F476,F476)=1,1,0)</f>
        <v>1</v>
      </c>
    </row>
    <row r="477" spans="1:9" x14ac:dyDescent="0.3">
      <c r="A477">
        <v>487</v>
      </c>
      <c r="B477">
        <v>55</v>
      </c>
      <c r="C477" s="2">
        <v>44867.047546296293</v>
      </c>
      <c r="D477" s="2">
        <v>44867.053888888891</v>
      </c>
      <c r="E477" s="3">
        <f t="shared" si="21"/>
        <v>44867</v>
      </c>
      <c r="F477">
        <f t="shared" si="22"/>
        <v>11</v>
      </c>
      <c r="G477" s="4">
        <f t="shared" si="23"/>
        <v>9.1333333414513618</v>
      </c>
      <c r="H477">
        <f>IF(COUNTIFS(B$2:B477,B477,E$2:E477,E477)=1,1,0)</f>
        <v>1</v>
      </c>
      <c r="I477">
        <f>IF(COUNTIFS(B$2:B477,B477,F$2:F477,F477)=1,1,0)</f>
        <v>0</v>
      </c>
    </row>
    <row r="478" spans="1:9" x14ac:dyDescent="0.3">
      <c r="A478">
        <v>488</v>
      </c>
      <c r="B478">
        <v>55</v>
      </c>
      <c r="C478" s="2">
        <v>44867.097986111112</v>
      </c>
      <c r="D478" s="2">
        <v>44867.105624999997</v>
      </c>
      <c r="E478" s="3">
        <f t="shared" si="21"/>
        <v>44867</v>
      </c>
      <c r="F478">
        <f t="shared" si="22"/>
        <v>11</v>
      </c>
      <c r="G478" s="4">
        <f t="shared" si="23"/>
        <v>10.999999993946403</v>
      </c>
      <c r="H478">
        <f>IF(COUNTIFS(B$2:B478,B478,E$2:E478,E478)=1,1,0)</f>
        <v>0</v>
      </c>
      <c r="I478">
        <f>IF(COUNTIFS(B$2:B478,B478,F$2:F478,F478)=1,1,0)</f>
        <v>0</v>
      </c>
    </row>
    <row r="479" spans="1:9" x14ac:dyDescent="0.3">
      <c r="A479">
        <v>489</v>
      </c>
      <c r="B479">
        <v>55</v>
      </c>
      <c r="C479" s="2">
        <v>44867.362210648149</v>
      </c>
      <c r="D479" s="2">
        <v>44867.371921296297</v>
      </c>
      <c r="E479" s="3">
        <f t="shared" si="21"/>
        <v>44867</v>
      </c>
      <c r="F479">
        <f t="shared" si="22"/>
        <v>11</v>
      </c>
      <c r="G479" s="4">
        <f t="shared" si="23"/>
        <v>13.983333333162591</v>
      </c>
      <c r="H479">
        <f>IF(COUNTIFS(B$2:B479,B479,E$2:E479,E479)=1,1,0)</f>
        <v>0</v>
      </c>
      <c r="I479">
        <f>IF(COUNTIFS(B$2:B479,B479,F$2:F479,F479)=1,1,0)</f>
        <v>0</v>
      </c>
    </row>
    <row r="480" spans="1:9" x14ac:dyDescent="0.3">
      <c r="A480">
        <v>490</v>
      </c>
      <c r="B480">
        <v>55</v>
      </c>
      <c r="C480" s="2">
        <v>44867.530069444445</v>
      </c>
      <c r="D480" s="2">
        <v>44867.537187499998</v>
      </c>
      <c r="E480" s="3">
        <f t="shared" si="21"/>
        <v>44867</v>
      </c>
      <c r="F480">
        <f t="shared" si="22"/>
        <v>11</v>
      </c>
      <c r="G480" s="4">
        <f t="shared" si="23"/>
        <v>10.249999996740371</v>
      </c>
      <c r="H480">
        <f>IF(COUNTIFS(B$2:B480,B480,E$2:E480,E480)=1,1,0)</f>
        <v>0</v>
      </c>
      <c r="I480">
        <f>IF(COUNTIFS(B$2:B480,B480,F$2:F480,F480)=1,1,0)</f>
        <v>0</v>
      </c>
    </row>
    <row r="481" spans="1:9" x14ac:dyDescent="0.3">
      <c r="A481">
        <v>491</v>
      </c>
      <c r="B481">
        <v>55</v>
      </c>
      <c r="C481" s="2">
        <v>44867.868657407409</v>
      </c>
      <c r="D481" s="2">
        <v>44867.876620370371</v>
      </c>
      <c r="E481" s="3">
        <f t="shared" si="21"/>
        <v>44867</v>
      </c>
      <c r="F481">
        <f t="shared" si="22"/>
        <v>11</v>
      </c>
      <c r="G481" s="4">
        <f t="shared" si="23"/>
        <v>11.466666664928198</v>
      </c>
      <c r="H481">
        <f>IF(COUNTIFS(B$2:B481,B481,E$2:E481,E481)=1,1,0)</f>
        <v>0</v>
      </c>
      <c r="I481">
        <f>IF(COUNTIFS(B$2:B481,B481,F$2:F481,F481)=1,1,0)</f>
        <v>0</v>
      </c>
    </row>
    <row r="482" spans="1:9" x14ac:dyDescent="0.3">
      <c r="A482">
        <v>492</v>
      </c>
      <c r="B482">
        <v>55</v>
      </c>
      <c r="C482" s="2">
        <v>44868.1565625</v>
      </c>
      <c r="D482" s="2">
        <v>44868.163888888892</v>
      </c>
      <c r="E482" s="3">
        <f t="shared" si="21"/>
        <v>44868</v>
      </c>
      <c r="F482">
        <f t="shared" si="22"/>
        <v>11</v>
      </c>
      <c r="G482" s="4">
        <f t="shared" si="23"/>
        <v>10.550000004004687</v>
      </c>
      <c r="H482">
        <f>IF(COUNTIFS(B$2:B482,B482,E$2:E482,E482)=1,1,0)</f>
        <v>1</v>
      </c>
      <c r="I482">
        <f>IF(COUNTIFS(B$2:B482,B482,F$2:F482,F482)=1,1,0)</f>
        <v>0</v>
      </c>
    </row>
    <row r="483" spans="1:9" x14ac:dyDescent="0.3">
      <c r="A483">
        <v>493</v>
      </c>
      <c r="B483">
        <v>55</v>
      </c>
      <c r="C483" s="2">
        <v>44868.392071759263</v>
      </c>
      <c r="D483" s="2">
        <v>44868.40284722222</v>
      </c>
      <c r="E483" s="3">
        <f t="shared" si="21"/>
        <v>44868</v>
      </c>
      <c r="F483">
        <f t="shared" si="22"/>
        <v>11</v>
      </c>
      <c r="G483" s="4">
        <f t="shared" si="23"/>
        <v>15.516666658222675</v>
      </c>
      <c r="H483">
        <f>IF(COUNTIFS(B$2:B483,B483,E$2:E483,E483)=1,1,0)</f>
        <v>0</v>
      </c>
      <c r="I483">
        <f>IF(COUNTIFS(B$2:B483,B483,F$2:F483,F483)=1,1,0)</f>
        <v>0</v>
      </c>
    </row>
    <row r="484" spans="1:9" x14ac:dyDescent="0.3">
      <c r="A484">
        <v>494</v>
      </c>
      <c r="B484">
        <v>56</v>
      </c>
      <c r="C484" s="2">
        <v>44737.594976851855</v>
      </c>
      <c r="D484" s="2">
        <v>44737.601724537039</v>
      </c>
      <c r="E484" s="3">
        <f t="shared" si="21"/>
        <v>44737</v>
      </c>
      <c r="F484">
        <f t="shared" si="22"/>
        <v>6</v>
      </c>
      <c r="G484" s="4">
        <f t="shared" si="23"/>
        <v>9.7166666644625366</v>
      </c>
      <c r="H484">
        <f>IF(COUNTIFS(B$2:B484,B484,E$2:E484,E484)=1,1,0)</f>
        <v>1</v>
      </c>
      <c r="I484">
        <f>IF(COUNTIFS(B$2:B484,B484,F$2:F484,F484)=1,1,0)</f>
        <v>1</v>
      </c>
    </row>
    <row r="485" spans="1:9" x14ac:dyDescent="0.3">
      <c r="A485">
        <v>495</v>
      </c>
      <c r="B485">
        <v>56</v>
      </c>
      <c r="C485" s="2">
        <v>44737.880624999998</v>
      </c>
      <c r="D485" s="2">
        <v>44737.888159722221</v>
      </c>
      <c r="E485" s="3">
        <f t="shared" si="21"/>
        <v>44737</v>
      </c>
      <c r="F485">
        <f t="shared" si="22"/>
        <v>6</v>
      </c>
      <c r="G485" s="4">
        <f t="shared" si="23"/>
        <v>10.850000000791624</v>
      </c>
      <c r="H485">
        <f>IF(COUNTIFS(B$2:B485,B485,E$2:E485,E485)=1,1,0)</f>
        <v>0</v>
      </c>
      <c r="I485">
        <f>IF(COUNTIFS(B$2:B485,B485,F$2:F485,F485)=1,1,0)</f>
        <v>0</v>
      </c>
    </row>
    <row r="486" spans="1:9" x14ac:dyDescent="0.3">
      <c r="A486">
        <v>496</v>
      </c>
      <c r="B486">
        <v>56</v>
      </c>
      <c r="C486" s="2">
        <v>44737.937627314815</v>
      </c>
      <c r="D486" s="2">
        <v>44737.943078703705</v>
      </c>
      <c r="E486" s="3">
        <f t="shared" si="21"/>
        <v>44737</v>
      </c>
      <c r="F486">
        <f t="shared" si="22"/>
        <v>6</v>
      </c>
      <c r="G486" s="4">
        <f t="shared" si="23"/>
        <v>7.8500000014901161</v>
      </c>
      <c r="H486">
        <f>IF(COUNTIFS(B$2:B486,B486,E$2:E486,E486)=1,1,0)</f>
        <v>0</v>
      </c>
      <c r="I486">
        <f>IF(COUNTIFS(B$2:B486,B486,F$2:F486,F486)=1,1,0)</f>
        <v>0</v>
      </c>
    </row>
    <row r="487" spans="1:9" x14ac:dyDescent="0.3">
      <c r="A487">
        <v>497</v>
      </c>
      <c r="B487">
        <v>56</v>
      </c>
      <c r="C487" s="2">
        <v>44738.154537037037</v>
      </c>
      <c r="D487" s="2">
        <v>44738.156666666669</v>
      </c>
      <c r="E487" s="3">
        <f t="shared" si="21"/>
        <v>44738</v>
      </c>
      <c r="F487">
        <f t="shared" si="22"/>
        <v>6</v>
      </c>
      <c r="G487" s="4">
        <f t="shared" si="23"/>
        <v>3.0666666710749269</v>
      </c>
      <c r="H487">
        <f>IF(COUNTIFS(B$2:B487,B487,E$2:E487,E487)=1,1,0)</f>
        <v>1</v>
      </c>
      <c r="I487">
        <f>IF(COUNTIFS(B$2:B487,B487,F$2:F487,F487)=1,1,0)</f>
        <v>0</v>
      </c>
    </row>
    <row r="488" spans="1:9" x14ac:dyDescent="0.3">
      <c r="A488">
        <v>498</v>
      </c>
      <c r="B488">
        <v>56</v>
      </c>
      <c r="C488" s="2">
        <v>44738.370856481481</v>
      </c>
      <c r="D488" s="2">
        <v>44738.375833333332</v>
      </c>
      <c r="E488" s="3">
        <f t="shared" si="21"/>
        <v>44738</v>
      </c>
      <c r="F488">
        <f t="shared" si="22"/>
        <v>6</v>
      </c>
      <c r="G488" s="4">
        <f t="shared" si="23"/>
        <v>7.1666666655801237</v>
      </c>
      <c r="H488">
        <f>IF(COUNTIFS(B$2:B488,B488,E$2:E488,E488)=1,1,0)</f>
        <v>0</v>
      </c>
      <c r="I488">
        <f>IF(COUNTIFS(B$2:B488,B488,F$2:F488,F488)=1,1,0)</f>
        <v>0</v>
      </c>
    </row>
    <row r="489" spans="1:9" x14ac:dyDescent="0.3">
      <c r="A489">
        <v>499</v>
      </c>
      <c r="B489">
        <v>56</v>
      </c>
      <c r="C489" s="2">
        <v>44738.486307870371</v>
      </c>
      <c r="D489" s="2">
        <v>44738.492974537039</v>
      </c>
      <c r="E489" s="3">
        <f t="shared" si="21"/>
        <v>44738</v>
      </c>
      <c r="F489">
        <f t="shared" si="22"/>
        <v>6</v>
      </c>
      <c r="G489" s="4">
        <f t="shared" si="23"/>
        <v>9.6000000019557774</v>
      </c>
      <c r="H489">
        <f>IF(COUNTIFS(B$2:B489,B489,E$2:E489,E489)=1,1,0)</f>
        <v>0</v>
      </c>
      <c r="I489">
        <f>IF(COUNTIFS(B$2:B489,B489,F$2:F489,F489)=1,1,0)</f>
        <v>0</v>
      </c>
    </row>
    <row r="490" spans="1:9" x14ac:dyDescent="0.3">
      <c r="A490">
        <v>500</v>
      </c>
      <c r="B490">
        <v>56</v>
      </c>
      <c r="C490" s="2">
        <v>44738.821527777778</v>
      </c>
      <c r="D490" s="2">
        <v>44738.828449074077</v>
      </c>
      <c r="E490" s="3">
        <f t="shared" si="21"/>
        <v>44738</v>
      </c>
      <c r="F490">
        <f t="shared" si="22"/>
        <v>6</v>
      </c>
      <c r="G490" s="4">
        <f t="shared" si="23"/>
        <v>9.9666666705161333</v>
      </c>
      <c r="H490">
        <f>IF(COUNTIFS(B$2:B490,B490,E$2:E490,E490)=1,1,0)</f>
        <v>0</v>
      </c>
      <c r="I490">
        <f>IF(COUNTIFS(B$2:B490,B490,F$2:F490,F490)=1,1,0)</f>
        <v>0</v>
      </c>
    </row>
    <row r="491" spans="1:9" x14ac:dyDescent="0.3">
      <c r="A491">
        <v>501</v>
      </c>
      <c r="B491">
        <v>56</v>
      </c>
      <c r="C491" s="2">
        <v>44739.129918981482</v>
      </c>
      <c r="D491" s="2">
        <v>44739.135960648149</v>
      </c>
      <c r="E491" s="3">
        <f t="shared" si="21"/>
        <v>44739</v>
      </c>
      <c r="F491">
        <f t="shared" si="22"/>
        <v>6</v>
      </c>
      <c r="G491" s="4">
        <f t="shared" si="23"/>
        <v>8.7000000011175871</v>
      </c>
      <c r="H491">
        <f>IF(COUNTIFS(B$2:B491,B491,E$2:E491,E491)=1,1,0)</f>
        <v>1</v>
      </c>
      <c r="I491">
        <f>IF(COUNTIFS(B$2:B491,B491,F$2:F491,F491)=1,1,0)</f>
        <v>0</v>
      </c>
    </row>
    <row r="492" spans="1:9" x14ac:dyDescent="0.3">
      <c r="A492">
        <v>502</v>
      </c>
      <c r="B492">
        <v>57</v>
      </c>
      <c r="C492" s="2">
        <v>44726.534675925926</v>
      </c>
      <c r="D492" s="2">
        <v>44726.541412037041</v>
      </c>
      <c r="E492" s="3">
        <f t="shared" si="21"/>
        <v>44726</v>
      </c>
      <c r="F492">
        <f t="shared" si="22"/>
        <v>6</v>
      </c>
      <c r="G492" s="4">
        <f t="shared" si="23"/>
        <v>9.7000000043772161</v>
      </c>
      <c r="H492">
        <f>IF(COUNTIFS(B$2:B492,B492,E$2:E492,E492)=1,1,0)</f>
        <v>1</v>
      </c>
      <c r="I492">
        <f>IF(COUNTIFS(B$2:B492,B492,F$2:F492,F492)=1,1,0)</f>
        <v>1</v>
      </c>
    </row>
    <row r="493" spans="1:9" x14ac:dyDescent="0.3">
      <c r="A493">
        <v>503</v>
      </c>
      <c r="B493">
        <v>57</v>
      </c>
      <c r="C493" s="2">
        <v>44726.638379629629</v>
      </c>
      <c r="D493" s="2">
        <v>44726.643969907411</v>
      </c>
      <c r="E493" s="3">
        <f t="shared" si="21"/>
        <v>44726</v>
      </c>
      <c r="F493">
        <f t="shared" si="22"/>
        <v>6</v>
      </c>
      <c r="G493" s="4">
        <f t="shared" si="23"/>
        <v>8.0500000063329935</v>
      </c>
      <c r="H493">
        <f>IF(COUNTIFS(B$2:B493,B493,E$2:E493,E493)=1,1,0)</f>
        <v>0</v>
      </c>
      <c r="I493">
        <f>IF(COUNTIFS(B$2:B493,B493,F$2:F493,F493)=1,1,0)</f>
        <v>0</v>
      </c>
    </row>
    <row r="494" spans="1:9" x14ac:dyDescent="0.3">
      <c r="A494">
        <v>504</v>
      </c>
      <c r="B494">
        <v>57</v>
      </c>
      <c r="C494" s="2">
        <v>44726.905069444445</v>
      </c>
      <c r="D494" s="2">
        <v>44726.913043981483</v>
      </c>
      <c r="E494" s="3">
        <f t="shared" si="21"/>
        <v>44726</v>
      </c>
      <c r="F494">
        <f t="shared" si="22"/>
        <v>6</v>
      </c>
      <c r="G494" s="4">
        <f t="shared" si="23"/>
        <v>11.483333335490897</v>
      </c>
      <c r="H494">
        <f>IF(COUNTIFS(B$2:B494,B494,E$2:E494,E494)=1,1,0)</f>
        <v>0</v>
      </c>
      <c r="I494">
        <f>IF(COUNTIFS(B$2:B494,B494,F$2:F494,F494)=1,1,0)</f>
        <v>0</v>
      </c>
    </row>
    <row r="495" spans="1:9" x14ac:dyDescent="0.3">
      <c r="A495">
        <v>505</v>
      </c>
      <c r="B495">
        <v>57</v>
      </c>
      <c r="C495" s="2">
        <v>44727.237951388888</v>
      </c>
      <c r="D495" s="2">
        <v>44727.241446759261</v>
      </c>
      <c r="E495" s="3">
        <f t="shared" si="21"/>
        <v>44727</v>
      </c>
      <c r="F495">
        <f t="shared" si="22"/>
        <v>6</v>
      </c>
      <c r="G495" s="4">
        <f t="shared" si="23"/>
        <v>5.033333336468786</v>
      </c>
      <c r="H495">
        <f>IF(COUNTIFS(B$2:B495,B495,E$2:E495,E495)=1,1,0)</f>
        <v>1</v>
      </c>
      <c r="I495">
        <f>IF(COUNTIFS(B$2:B495,B495,F$2:F495,F495)=1,1,0)</f>
        <v>0</v>
      </c>
    </row>
    <row r="496" spans="1:9" x14ac:dyDescent="0.3">
      <c r="A496">
        <v>506</v>
      </c>
      <c r="B496">
        <v>57</v>
      </c>
      <c r="C496" s="2">
        <v>44727.434074074074</v>
      </c>
      <c r="D496" s="2">
        <v>44727.440254629626</v>
      </c>
      <c r="E496" s="3">
        <f t="shared" si="21"/>
        <v>44727</v>
      </c>
      <c r="F496">
        <f t="shared" si="22"/>
        <v>6</v>
      </c>
      <c r="G496" s="4">
        <f t="shared" si="23"/>
        <v>8.8999999954830855</v>
      </c>
      <c r="H496">
        <f>IF(COUNTIFS(B$2:B496,B496,E$2:E496,E496)=1,1,0)</f>
        <v>0</v>
      </c>
      <c r="I496">
        <f>IF(COUNTIFS(B$2:B496,B496,F$2:F496,F496)=1,1,0)</f>
        <v>0</v>
      </c>
    </row>
    <row r="497" spans="1:9" x14ac:dyDescent="0.3">
      <c r="A497">
        <v>507</v>
      </c>
      <c r="B497">
        <v>57</v>
      </c>
      <c r="C497" s="2">
        <v>44727.577546296299</v>
      </c>
      <c r="D497" s="2">
        <v>44727.582789351851</v>
      </c>
      <c r="E497" s="3">
        <f t="shared" si="21"/>
        <v>44727</v>
      </c>
      <c r="F497">
        <f t="shared" si="22"/>
        <v>6</v>
      </c>
      <c r="G497" s="4">
        <f t="shared" si="23"/>
        <v>7.5499999942258</v>
      </c>
      <c r="H497">
        <f>IF(COUNTIFS(B$2:B497,B497,E$2:E497,E497)=1,1,0)</f>
        <v>0</v>
      </c>
      <c r="I497">
        <f>IF(COUNTIFS(B$2:B497,B497,F$2:F497,F497)=1,1,0)</f>
        <v>0</v>
      </c>
    </row>
    <row r="498" spans="1:9" x14ac:dyDescent="0.3">
      <c r="A498">
        <v>508</v>
      </c>
      <c r="B498">
        <v>57</v>
      </c>
      <c r="C498" s="2">
        <v>44727.796030092592</v>
      </c>
      <c r="D498" s="2">
        <v>44727.804976851854</v>
      </c>
      <c r="E498" s="3">
        <f t="shared" si="21"/>
        <v>44727</v>
      </c>
      <c r="F498">
        <f t="shared" si="22"/>
        <v>6</v>
      </c>
      <c r="G498" s="4">
        <f t="shared" si="23"/>
        <v>12.883333337958902</v>
      </c>
      <c r="H498">
        <f>IF(COUNTIFS(B$2:B498,B498,E$2:E498,E498)=1,1,0)</f>
        <v>0</v>
      </c>
      <c r="I498">
        <f>IF(COUNTIFS(B$2:B498,B498,F$2:F498,F498)=1,1,0)</f>
        <v>0</v>
      </c>
    </row>
    <row r="499" spans="1:9" x14ac:dyDescent="0.3">
      <c r="A499">
        <v>509</v>
      </c>
      <c r="B499">
        <v>57</v>
      </c>
      <c r="C499" s="2">
        <v>44728.119490740741</v>
      </c>
      <c r="D499" s="2">
        <v>44728.127627314818</v>
      </c>
      <c r="E499" s="3">
        <f t="shared" si="21"/>
        <v>44728</v>
      </c>
      <c r="F499">
        <f t="shared" si="22"/>
        <v>6</v>
      </c>
      <c r="G499" s="4">
        <f t="shared" si="23"/>
        <v>11.716666670981795</v>
      </c>
      <c r="H499">
        <f>IF(COUNTIFS(B$2:B499,B499,E$2:E499,E499)=1,1,0)</f>
        <v>1</v>
      </c>
      <c r="I499">
        <f>IF(COUNTIFS(B$2:B499,B499,F$2:F499,F499)=1,1,0)</f>
        <v>0</v>
      </c>
    </row>
    <row r="500" spans="1:9" x14ac:dyDescent="0.3">
      <c r="A500">
        <v>510</v>
      </c>
      <c r="B500">
        <v>57</v>
      </c>
      <c r="C500" s="2">
        <v>44728.338587962964</v>
      </c>
      <c r="D500" s="2">
        <v>44728.341122685182</v>
      </c>
      <c r="E500" s="3">
        <f t="shared" si="21"/>
        <v>44728</v>
      </c>
      <c r="F500">
        <f t="shared" si="22"/>
        <v>6</v>
      </c>
      <c r="G500" s="4">
        <f t="shared" si="23"/>
        <v>3.6499999940861017</v>
      </c>
      <c r="H500">
        <f>IF(COUNTIFS(B$2:B500,B500,E$2:E500,E500)=1,1,0)</f>
        <v>0</v>
      </c>
      <c r="I500">
        <f>IF(COUNTIFS(B$2:B500,B500,F$2:F500,F500)=1,1,0)</f>
        <v>0</v>
      </c>
    </row>
    <row r="501" spans="1:9" x14ac:dyDescent="0.3">
      <c r="A501">
        <v>511</v>
      </c>
      <c r="B501">
        <v>57</v>
      </c>
      <c r="C501" s="2">
        <v>44728.603692129633</v>
      </c>
      <c r="D501" s="2">
        <v>44728.611157407409</v>
      </c>
      <c r="E501" s="3">
        <f t="shared" si="21"/>
        <v>44728</v>
      </c>
      <c r="F501">
        <f t="shared" si="22"/>
        <v>6</v>
      </c>
      <c r="G501" s="4">
        <f t="shared" si="23"/>
        <v>10.749999998370185</v>
      </c>
      <c r="H501">
        <f>IF(COUNTIFS(B$2:B501,B501,E$2:E501,E501)=1,1,0)</f>
        <v>0</v>
      </c>
      <c r="I501">
        <f>IF(COUNTIFS(B$2:B501,B501,F$2:F501,F501)=1,1,0)</f>
        <v>0</v>
      </c>
    </row>
    <row r="502" spans="1:9" x14ac:dyDescent="0.3">
      <c r="A502">
        <v>512</v>
      </c>
      <c r="B502">
        <v>57</v>
      </c>
      <c r="C502" s="2">
        <v>44728.875034722223</v>
      </c>
      <c r="D502" s="2">
        <v>44728.878877314812</v>
      </c>
      <c r="E502" s="3">
        <f t="shared" si="21"/>
        <v>44728</v>
      </c>
      <c r="F502">
        <f t="shared" si="22"/>
        <v>6</v>
      </c>
      <c r="G502" s="4">
        <f t="shared" si="23"/>
        <v>5.5333333276212215</v>
      </c>
      <c r="H502">
        <f>IF(COUNTIFS(B$2:B502,B502,E$2:E502,E502)=1,1,0)</f>
        <v>0</v>
      </c>
      <c r="I502">
        <f>IF(COUNTIFS(B$2:B502,B502,F$2:F502,F502)=1,1,0)</f>
        <v>0</v>
      </c>
    </row>
    <row r="503" spans="1:9" x14ac:dyDescent="0.3">
      <c r="A503">
        <v>513</v>
      </c>
      <c r="B503">
        <v>57</v>
      </c>
      <c r="C503" s="2">
        <v>44729.076666666668</v>
      </c>
      <c r="D503" s="2">
        <v>44729.084837962961</v>
      </c>
      <c r="E503" s="3">
        <f t="shared" si="21"/>
        <v>44729</v>
      </c>
      <c r="F503">
        <f t="shared" si="22"/>
        <v>6</v>
      </c>
      <c r="G503" s="4">
        <f t="shared" si="23"/>
        <v>11.766666661715135</v>
      </c>
      <c r="H503">
        <f>IF(COUNTIFS(B$2:B503,B503,E$2:E503,E503)=1,1,0)</f>
        <v>1</v>
      </c>
      <c r="I503">
        <f>IF(COUNTIFS(B$2:B503,B503,F$2:F503,F503)=1,1,0)</f>
        <v>0</v>
      </c>
    </row>
    <row r="504" spans="1:9" x14ac:dyDescent="0.3">
      <c r="A504">
        <v>514</v>
      </c>
      <c r="B504">
        <v>58</v>
      </c>
      <c r="C504" s="2">
        <v>44678.536724537036</v>
      </c>
      <c r="D504" s="2">
        <v>44678.539409722223</v>
      </c>
      <c r="E504" s="3">
        <f t="shared" si="21"/>
        <v>44678</v>
      </c>
      <c r="F504">
        <f t="shared" si="22"/>
        <v>4</v>
      </c>
      <c r="G504" s="4">
        <f t="shared" si="23"/>
        <v>3.8666666694916785</v>
      </c>
      <c r="H504">
        <f>IF(COUNTIFS(B$2:B504,B504,E$2:E504,E504)=1,1,0)</f>
        <v>1</v>
      </c>
      <c r="I504">
        <f>IF(COUNTIFS(B$2:B504,B504,F$2:F504,F504)=1,1,0)</f>
        <v>1</v>
      </c>
    </row>
    <row r="505" spans="1:9" x14ac:dyDescent="0.3">
      <c r="A505">
        <v>515</v>
      </c>
      <c r="B505">
        <v>58</v>
      </c>
      <c r="C505" s="2">
        <v>44678.71197916667</v>
      </c>
      <c r="D505" s="2">
        <v>44678.71502314815</v>
      </c>
      <c r="E505" s="3">
        <f t="shared" si="21"/>
        <v>44678</v>
      </c>
      <c r="F505">
        <f t="shared" si="22"/>
        <v>4</v>
      </c>
      <c r="G505" s="4">
        <f t="shared" si="23"/>
        <v>4.3833333312068135</v>
      </c>
      <c r="H505">
        <f>IF(COUNTIFS(B$2:B505,B505,E$2:E505,E505)=1,1,0)</f>
        <v>0</v>
      </c>
      <c r="I505">
        <f>IF(COUNTIFS(B$2:B505,B505,F$2:F505,F505)=1,1,0)</f>
        <v>0</v>
      </c>
    </row>
    <row r="506" spans="1:9" x14ac:dyDescent="0.3">
      <c r="A506">
        <v>516</v>
      </c>
      <c r="B506">
        <v>58</v>
      </c>
      <c r="C506" s="2">
        <v>44678.75141203704</v>
      </c>
      <c r="D506" s="2">
        <v>44678.755208333336</v>
      </c>
      <c r="E506" s="3">
        <f t="shared" si="21"/>
        <v>44678</v>
      </c>
      <c r="F506">
        <f t="shared" si="22"/>
        <v>4</v>
      </c>
      <c r="G506" s="4">
        <f t="shared" si="23"/>
        <v>5.4666666663251817</v>
      </c>
      <c r="H506">
        <f>IF(COUNTIFS(B$2:B506,B506,E$2:E506,E506)=1,1,0)</f>
        <v>0</v>
      </c>
      <c r="I506">
        <f>IF(COUNTIFS(B$2:B506,B506,F$2:F506,F506)=1,1,0)</f>
        <v>0</v>
      </c>
    </row>
    <row r="507" spans="1:9" x14ac:dyDescent="0.3">
      <c r="A507">
        <v>517</v>
      </c>
      <c r="B507">
        <v>58</v>
      </c>
      <c r="C507" s="2">
        <v>44678.964259259257</v>
      </c>
      <c r="D507" s="2">
        <v>44678.969166666669</v>
      </c>
      <c r="E507" s="3">
        <f t="shared" si="21"/>
        <v>44678</v>
      </c>
      <c r="F507">
        <f t="shared" si="22"/>
        <v>4</v>
      </c>
      <c r="G507" s="4">
        <f t="shared" si="23"/>
        <v>7.0666666736360639</v>
      </c>
      <c r="H507">
        <f>IF(COUNTIFS(B$2:B507,B507,E$2:E507,E507)=1,1,0)</f>
        <v>0</v>
      </c>
      <c r="I507">
        <f>IF(COUNTIFS(B$2:B507,B507,F$2:F507,F507)=1,1,0)</f>
        <v>0</v>
      </c>
    </row>
    <row r="508" spans="1:9" x14ac:dyDescent="0.3">
      <c r="A508">
        <v>518</v>
      </c>
      <c r="B508">
        <v>58</v>
      </c>
      <c r="C508" s="2">
        <v>44679.132696759261</v>
      </c>
      <c r="D508" s="2">
        <v>44679.13858796296</v>
      </c>
      <c r="E508" s="3">
        <f t="shared" si="21"/>
        <v>44679</v>
      </c>
      <c r="F508">
        <f t="shared" si="22"/>
        <v>4</v>
      </c>
      <c r="G508" s="4">
        <f t="shared" si="23"/>
        <v>8.4833333257120103</v>
      </c>
      <c r="H508">
        <f>IF(COUNTIFS(B$2:B508,B508,E$2:E508,E508)=1,1,0)</f>
        <v>1</v>
      </c>
      <c r="I508">
        <f>IF(COUNTIFS(B$2:B508,B508,F$2:F508,F508)=1,1,0)</f>
        <v>0</v>
      </c>
    </row>
    <row r="509" spans="1:9" x14ac:dyDescent="0.3">
      <c r="A509">
        <v>519</v>
      </c>
      <c r="B509">
        <v>58</v>
      </c>
      <c r="C509" s="2">
        <v>44679.406111111108</v>
      </c>
      <c r="D509" s="2">
        <v>44679.409745370373</v>
      </c>
      <c r="E509" s="3">
        <f t="shared" si="21"/>
        <v>44679</v>
      </c>
      <c r="F509">
        <f t="shared" si="22"/>
        <v>4</v>
      </c>
      <c r="G509" s="4">
        <f t="shared" si="23"/>
        <v>5.2333333413116634</v>
      </c>
      <c r="H509">
        <f>IF(COUNTIFS(B$2:B509,B509,E$2:E509,E509)=1,1,0)</f>
        <v>0</v>
      </c>
      <c r="I509">
        <f>IF(COUNTIFS(B$2:B509,B509,F$2:F509,F509)=1,1,0)</f>
        <v>0</v>
      </c>
    </row>
    <row r="510" spans="1:9" x14ac:dyDescent="0.3">
      <c r="A510">
        <v>520</v>
      </c>
      <c r="B510">
        <v>59</v>
      </c>
      <c r="C510" s="2">
        <v>44827.821793981479</v>
      </c>
      <c r="D510" s="2">
        <v>44827.82435185185</v>
      </c>
      <c r="E510" s="3">
        <f t="shared" si="21"/>
        <v>44827</v>
      </c>
      <c r="F510">
        <f t="shared" si="22"/>
        <v>9</v>
      </c>
      <c r="G510" s="4">
        <f t="shared" si="23"/>
        <v>3.6833333352115005</v>
      </c>
      <c r="H510">
        <f>IF(COUNTIFS(B$2:B510,B510,E$2:E510,E510)=1,1,0)</f>
        <v>1</v>
      </c>
      <c r="I510">
        <f>IF(COUNTIFS(B$2:B510,B510,F$2:F510,F510)=1,1,0)</f>
        <v>1</v>
      </c>
    </row>
    <row r="511" spans="1:9" x14ac:dyDescent="0.3">
      <c r="A511">
        <v>521</v>
      </c>
      <c r="B511">
        <v>59</v>
      </c>
      <c r="C511" s="2">
        <v>44827.947893518518</v>
      </c>
      <c r="D511" s="2">
        <v>44827.956458333334</v>
      </c>
      <c r="E511" s="3">
        <f t="shared" si="21"/>
        <v>44827</v>
      </c>
      <c r="F511">
        <f t="shared" si="22"/>
        <v>9</v>
      </c>
      <c r="G511" s="4">
        <f t="shared" si="23"/>
        <v>12.333333335118368</v>
      </c>
      <c r="H511">
        <f>IF(COUNTIFS(B$2:B511,B511,E$2:E511,E511)=1,1,0)</f>
        <v>0</v>
      </c>
      <c r="I511">
        <f>IF(COUNTIFS(B$2:B511,B511,F$2:F511,F511)=1,1,0)</f>
        <v>0</v>
      </c>
    </row>
    <row r="512" spans="1:9" x14ac:dyDescent="0.3">
      <c r="A512">
        <v>522</v>
      </c>
      <c r="B512">
        <v>59</v>
      </c>
      <c r="C512" s="2">
        <v>44828.10324074074</v>
      </c>
      <c r="D512" s="2">
        <v>44828.108067129629</v>
      </c>
      <c r="E512" s="3">
        <f t="shared" si="21"/>
        <v>44828</v>
      </c>
      <c r="F512">
        <f t="shared" si="22"/>
        <v>9</v>
      </c>
      <c r="G512" s="4">
        <f t="shared" si="23"/>
        <v>6.9500000006519258</v>
      </c>
      <c r="H512">
        <f>IF(COUNTIFS(B$2:B512,B512,E$2:E512,E512)=1,1,0)</f>
        <v>1</v>
      </c>
      <c r="I512">
        <f>IF(COUNTIFS(B$2:B512,B512,F$2:F512,F512)=1,1,0)</f>
        <v>0</v>
      </c>
    </row>
    <row r="513" spans="1:9" x14ac:dyDescent="0.3">
      <c r="A513">
        <v>523</v>
      </c>
      <c r="B513">
        <v>59</v>
      </c>
      <c r="C513" s="2">
        <v>44828.420949074076</v>
      </c>
      <c r="D513" s="2">
        <v>44828.428599537037</v>
      </c>
      <c r="E513" s="3">
        <f t="shared" si="21"/>
        <v>44828</v>
      </c>
      <c r="F513">
        <f t="shared" si="22"/>
        <v>9</v>
      </c>
      <c r="G513" s="4">
        <f t="shared" si="23"/>
        <v>11.016666664509103</v>
      </c>
      <c r="H513">
        <f>IF(COUNTIFS(B$2:B513,B513,E$2:E513,E513)=1,1,0)</f>
        <v>0</v>
      </c>
      <c r="I513">
        <f>IF(COUNTIFS(B$2:B513,B513,F$2:F513,F513)=1,1,0)</f>
        <v>0</v>
      </c>
    </row>
    <row r="514" spans="1:9" x14ac:dyDescent="0.3">
      <c r="A514">
        <v>524</v>
      </c>
      <c r="B514">
        <v>59</v>
      </c>
      <c r="C514" s="2">
        <v>44828.612743055557</v>
      </c>
      <c r="D514" s="2">
        <v>44828.619525462964</v>
      </c>
      <c r="E514" s="3">
        <f t="shared" ref="E514:E577" si="24">INT(C514)</f>
        <v>44828</v>
      </c>
      <c r="F514">
        <f t="shared" ref="F514:F577" si="25">MONTH(C514)</f>
        <v>9</v>
      </c>
      <c r="G514" s="4">
        <f t="shared" ref="G514:G577" si="26">(D514-C514)*1440</f>
        <v>9.7666666656732559</v>
      </c>
      <c r="H514">
        <f>IF(COUNTIFS(B$2:B514,B514,E$2:E514,E514)=1,1,0)</f>
        <v>0</v>
      </c>
      <c r="I514">
        <f>IF(COUNTIFS(B$2:B514,B514,F$2:F514,F514)=1,1,0)</f>
        <v>0</v>
      </c>
    </row>
    <row r="515" spans="1:9" x14ac:dyDescent="0.3">
      <c r="A515">
        <v>525</v>
      </c>
      <c r="B515">
        <v>59</v>
      </c>
      <c r="C515" s="2">
        <v>44828.676006944443</v>
      </c>
      <c r="D515" s="2">
        <v>44828.687071759261</v>
      </c>
      <c r="E515" s="3">
        <f t="shared" si="24"/>
        <v>44828</v>
      </c>
      <c r="F515">
        <f t="shared" si="25"/>
        <v>9</v>
      </c>
      <c r="G515" s="4">
        <f t="shared" si="26"/>
        <v>15.93333333847113</v>
      </c>
      <c r="H515">
        <f>IF(COUNTIFS(B$2:B515,B515,E$2:E515,E515)=1,1,0)</f>
        <v>0</v>
      </c>
      <c r="I515">
        <f>IF(COUNTIFS(B$2:B515,B515,F$2:F515,F515)=1,1,0)</f>
        <v>0</v>
      </c>
    </row>
    <row r="516" spans="1:9" x14ac:dyDescent="0.3">
      <c r="A516">
        <v>526</v>
      </c>
      <c r="B516">
        <v>59</v>
      </c>
      <c r="C516" s="2">
        <v>44828.758032407408</v>
      </c>
      <c r="D516" s="2">
        <v>44828.764074074075</v>
      </c>
      <c r="E516" s="3">
        <f t="shared" si="24"/>
        <v>44828</v>
      </c>
      <c r="F516">
        <f t="shared" si="25"/>
        <v>9</v>
      </c>
      <c r="G516" s="4">
        <f t="shared" si="26"/>
        <v>8.7000000011175871</v>
      </c>
      <c r="H516">
        <f>IF(COUNTIFS(B$2:B516,B516,E$2:E516,E516)=1,1,0)</f>
        <v>0</v>
      </c>
      <c r="I516">
        <f>IF(COUNTIFS(B$2:B516,B516,F$2:F516,F516)=1,1,0)</f>
        <v>0</v>
      </c>
    </row>
    <row r="517" spans="1:9" x14ac:dyDescent="0.3">
      <c r="A517">
        <v>527</v>
      </c>
      <c r="B517">
        <v>59</v>
      </c>
      <c r="C517" s="2">
        <v>44828.997060185182</v>
      </c>
      <c r="D517" s="2">
        <v>44829.00472222222</v>
      </c>
      <c r="E517" s="3">
        <f t="shared" si="24"/>
        <v>44828</v>
      </c>
      <c r="F517">
        <f t="shared" si="25"/>
        <v>9</v>
      </c>
      <c r="G517" s="4">
        <f t="shared" si="26"/>
        <v>11.033333335071802</v>
      </c>
      <c r="H517">
        <f>IF(COUNTIFS(B$2:B517,B517,E$2:E517,E517)=1,1,0)</f>
        <v>0</v>
      </c>
      <c r="I517">
        <f>IF(COUNTIFS(B$2:B517,B517,F$2:F517,F517)=1,1,0)</f>
        <v>0</v>
      </c>
    </row>
    <row r="518" spans="1:9" x14ac:dyDescent="0.3">
      <c r="A518">
        <v>528</v>
      </c>
      <c r="B518">
        <v>59</v>
      </c>
      <c r="C518" s="2">
        <v>44829.061180555553</v>
      </c>
      <c r="D518" s="2">
        <v>44829.069293981483</v>
      </c>
      <c r="E518" s="3">
        <f t="shared" si="24"/>
        <v>44829</v>
      </c>
      <c r="F518">
        <f t="shared" si="25"/>
        <v>9</v>
      </c>
      <c r="G518" s="4">
        <f t="shared" si="26"/>
        <v>11.683333340333775</v>
      </c>
      <c r="H518">
        <f>IF(COUNTIFS(B$2:B518,B518,E$2:E518,E518)=1,1,0)</f>
        <v>1</v>
      </c>
      <c r="I518">
        <f>IF(COUNTIFS(B$2:B518,B518,F$2:F518,F518)=1,1,0)</f>
        <v>0</v>
      </c>
    </row>
    <row r="519" spans="1:9" x14ac:dyDescent="0.3">
      <c r="A519">
        <v>529</v>
      </c>
      <c r="B519">
        <v>59</v>
      </c>
      <c r="C519" s="2">
        <v>44829.329502314817</v>
      </c>
      <c r="D519" s="2">
        <v>44829.337268518517</v>
      </c>
      <c r="E519" s="3">
        <f t="shared" si="24"/>
        <v>44829</v>
      </c>
      <c r="F519">
        <f t="shared" si="25"/>
        <v>9</v>
      </c>
      <c r="G519" s="4">
        <f t="shared" si="26"/>
        <v>11.183333328226581</v>
      </c>
      <c r="H519">
        <f>IF(COUNTIFS(B$2:B519,B519,E$2:E519,E519)=1,1,0)</f>
        <v>0</v>
      </c>
      <c r="I519">
        <f>IF(COUNTIFS(B$2:B519,B519,F$2:F519,F519)=1,1,0)</f>
        <v>0</v>
      </c>
    </row>
    <row r="520" spans="1:9" x14ac:dyDescent="0.3">
      <c r="A520">
        <v>530</v>
      </c>
      <c r="B520">
        <v>59</v>
      </c>
      <c r="C520" s="2">
        <v>44829.639780092592</v>
      </c>
      <c r="D520" s="2">
        <v>44829.645046296297</v>
      </c>
      <c r="E520" s="3">
        <f t="shared" si="24"/>
        <v>44829</v>
      </c>
      <c r="F520">
        <f t="shared" si="25"/>
        <v>9</v>
      </c>
      <c r="G520" s="4">
        <f t="shared" si="26"/>
        <v>7.5833333353511989</v>
      </c>
      <c r="H520">
        <f>IF(COUNTIFS(B$2:B520,B520,E$2:E520,E520)=1,1,0)</f>
        <v>0</v>
      </c>
      <c r="I520">
        <f>IF(COUNTIFS(B$2:B520,B520,F$2:F520,F520)=1,1,0)</f>
        <v>0</v>
      </c>
    </row>
    <row r="521" spans="1:9" x14ac:dyDescent="0.3">
      <c r="A521">
        <v>531</v>
      </c>
      <c r="B521">
        <v>59</v>
      </c>
      <c r="C521" s="2">
        <v>44829.785509259258</v>
      </c>
      <c r="D521" s="2">
        <v>44829.793020833335</v>
      </c>
      <c r="E521" s="3">
        <f t="shared" si="24"/>
        <v>44829</v>
      </c>
      <c r="F521">
        <f t="shared" si="25"/>
        <v>9</v>
      </c>
      <c r="G521" s="4">
        <f t="shared" si="26"/>
        <v>10.816666670143604</v>
      </c>
      <c r="H521">
        <f>IF(COUNTIFS(B$2:B521,B521,E$2:E521,E521)=1,1,0)</f>
        <v>0</v>
      </c>
      <c r="I521">
        <f>IF(COUNTIFS(B$2:B521,B521,F$2:F521,F521)=1,1,0)</f>
        <v>0</v>
      </c>
    </row>
    <row r="522" spans="1:9" x14ac:dyDescent="0.3">
      <c r="A522">
        <v>532</v>
      </c>
      <c r="B522">
        <v>59</v>
      </c>
      <c r="C522" s="2">
        <v>44830.091261574074</v>
      </c>
      <c r="D522" s="2">
        <v>44830.098379629628</v>
      </c>
      <c r="E522" s="3">
        <f t="shared" si="24"/>
        <v>44830</v>
      </c>
      <c r="F522">
        <f t="shared" si="25"/>
        <v>9</v>
      </c>
      <c r="G522" s="4">
        <f t="shared" si="26"/>
        <v>10.249999996740371</v>
      </c>
      <c r="H522">
        <f>IF(COUNTIFS(B$2:B522,B522,E$2:E522,E522)=1,1,0)</f>
        <v>1</v>
      </c>
      <c r="I522">
        <f>IF(COUNTIFS(B$2:B522,B522,F$2:F522,F522)=1,1,0)</f>
        <v>0</v>
      </c>
    </row>
    <row r="523" spans="1:9" x14ac:dyDescent="0.3">
      <c r="A523">
        <v>533</v>
      </c>
      <c r="B523">
        <v>59</v>
      </c>
      <c r="C523" s="2">
        <v>44830.255659722221</v>
      </c>
      <c r="D523" s="2">
        <v>44830.262314814812</v>
      </c>
      <c r="E523" s="3">
        <f t="shared" si="24"/>
        <v>44830</v>
      </c>
      <c r="F523">
        <f t="shared" si="25"/>
        <v>9</v>
      </c>
      <c r="G523" s="4">
        <f t="shared" si="26"/>
        <v>9.583333331393078</v>
      </c>
      <c r="H523">
        <f>IF(COUNTIFS(B$2:B523,B523,E$2:E523,E523)=1,1,0)</f>
        <v>0</v>
      </c>
      <c r="I523">
        <f>IF(COUNTIFS(B$2:B523,B523,F$2:F523,F523)=1,1,0)</f>
        <v>0</v>
      </c>
    </row>
    <row r="524" spans="1:9" x14ac:dyDescent="0.3">
      <c r="A524">
        <v>534</v>
      </c>
      <c r="B524">
        <v>59</v>
      </c>
      <c r="C524" s="2">
        <v>44830.397303240738</v>
      </c>
      <c r="D524" s="2">
        <v>44830.404421296298</v>
      </c>
      <c r="E524" s="3">
        <f t="shared" si="24"/>
        <v>44830</v>
      </c>
      <c r="F524">
        <f t="shared" si="25"/>
        <v>9</v>
      </c>
      <c r="G524" s="4">
        <f t="shared" si="26"/>
        <v>10.25000000721775</v>
      </c>
      <c r="H524">
        <f>IF(COUNTIFS(B$2:B524,B524,E$2:E524,E524)=1,1,0)</f>
        <v>0</v>
      </c>
      <c r="I524">
        <f>IF(COUNTIFS(B$2:B524,B524,F$2:F524,F524)=1,1,0)</f>
        <v>0</v>
      </c>
    </row>
    <row r="525" spans="1:9" x14ac:dyDescent="0.3">
      <c r="A525">
        <v>535</v>
      </c>
      <c r="B525">
        <v>59</v>
      </c>
      <c r="C525" s="2">
        <v>44830.666631944441</v>
      </c>
      <c r="D525" s="2">
        <v>44830.673518518517</v>
      </c>
      <c r="E525" s="3">
        <f t="shared" si="24"/>
        <v>44830</v>
      </c>
      <c r="F525">
        <f t="shared" si="25"/>
        <v>9</v>
      </c>
      <c r="G525" s="4">
        <f t="shared" si="26"/>
        <v>9.916666669305414</v>
      </c>
      <c r="H525">
        <f>IF(COUNTIFS(B$2:B525,B525,E$2:E525,E525)=1,1,0)</f>
        <v>0</v>
      </c>
      <c r="I525">
        <f>IF(COUNTIFS(B$2:B525,B525,F$2:F525,F525)=1,1,0)</f>
        <v>0</v>
      </c>
    </row>
    <row r="526" spans="1:9" x14ac:dyDescent="0.3">
      <c r="A526">
        <v>536</v>
      </c>
      <c r="B526">
        <v>59</v>
      </c>
      <c r="C526" s="2">
        <v>44830.90152777778</v>
      </c>
      <c r="D526" s="2">
        <v>44830.91128472222</v>
      </c>
      <c r="E526" s="3">
        <f t="shared" si="24"/>
        <v>44830</v>
      </c>
      <c r="F526">
        <f t="shared" si="25"/>
        <v>9</v>
      </c>
      <c r="G526" s="4">
        <f t="shared" si="26"/>
        <v>14.049999994458631</v>
      </c>
      <c r="H526">
        <f>IF(COUNTIFS(B$2:B526,B526,E$2:E526,E526)=1,1,0)</f>
        <v>0</v>
      </c>
      <c r="I526">
        <f>IF(COUNTIFS(B$2:B526,B526,F$2:F526,F526)=1,1,0)</f>
        <v>0</v>
      </c>
    </row>
    <row r="527" spans="1:9" x14ac:dyDescent="0.3">
      <c r="A527">
        <v>537</v>
      </c>
      <c r="B527">
        <v>59</v>
      </c>
      <c r="C527" s="2">
        <v>44831.247789351852</v>
      </c>
      <c r="D527" s="2">
        <v>44831.250208333331</v>
      </c>
      <c r="E527" s="3">
        <f t="shared" si="24"/>
        <v>44831</v>
      </c>
      <c r="F527">
        <f t="shared" si="25"/>
        <v>9</v>
      </c>
      <c r="G527" s="4">
        <f t="shared" si="26"/>
        <v>3.4833333303686231</v>
      </c>
      <c r="H527">
        <f>IF(COUNTIFS(B$2:B527,B527,E$2:E527,E527)=1,1,0)</f>
        <v>1</v>
      </c>
      <c r="I527">
        <f>IF(COUNTIFS(B$2:B527,B527,F$2:F527,F527)=1,1,0)</f>
        <v>0</v>
      </c>
    </row>
    <row r="528" spans="1:9" x14ac:dyDescent="0.3">
      <c r="A528">
        <v>538</v>
      </c>
      <c r="B528">
        <v>59</v>
      </c>
      <c r="C528" s="2">
        <v>44831.484479166669</v>
      </c>
      <c r="D528" s="2">
        <v>44831.488530092596</v>
      </c>
      <c r="E528" s="3">
        <f t="shared" si="24"/>
        <v>44831</v>
      </c>
      <c r="F528">
        <f t="shared" si="25"/>
        <v>9</v>
      </c>
      <c r="G528" s="4">
        <f t="shared" si="26"/>
        <v>5.8333333348855376</v>
      </c>
      <c r="H528">
        <f>IF(COUNTIFS(B$2:B528,B528,E$2:E528,E528)=1,1,0)</f>
        <v>0</v>
      </c>
      <c r="I528">
        <f>IF(COUNTIFS(B$2:B528,B528,F$2:F528,F528)=1,1,0)</f>
        <v>0</v>
      </c>
    </row>
    <row r="529" spans="1:9" x14ac:dyDescent="0.3">
      <c r="A529">
        <v>539</v>
      </c>
      <c r="B529">
        <v>59</v>
      </c>
      <c r="C529" s="2">
        <v>44831.611030092594</v>
      </c>
      <c r="D529" s="2">
        <v>44831.618078703701</v>
      </c>
      <c r="E529" s="3">
        <f t="shared" si="24"/>
        <v>44831</v>
      </c>
      <c r="F529">
        <f t="shared" si="25"/>
        <v>9</v>
      </c>
      <c r="G529" s="4">
        <f t="shared" si="26"/>
        <v>10.149999994318932</v>
      </c>
      <c r="H529">
        <f>IF(COUNTIFS(B$2:B529,B529,E$2:E529,E529)=1,1,0)</f>
        <v>0</v>
      </c>
      <c r="I529">
        <f>IF(COUNTIFS(B$2:B529,B529,F$2:F529,F529)=1,1,0)</f>
        <v>0</v>
      </c>
    </row>
    <row r="530" spans="1:9" x14ac:dyDescent="0.3">
      <c r="A530">
        <v>540</v>
      </c>
      <c r="B530">
        <v>59</v>
      </c>
      <c r="C530" s="2">
        <v>44831.675543981481</v>
      </c>
      <c r="D530" s="2">
        <v>44831.681435185186</v>
      </c>
      <c r="E530" s="3">
        <f t="shared" si="24"/>
        <v>44831</v>
      </c>
      <c r="F530">
        <f t="shared" si="25"/>
        <v>9</v>
      </c>
      <c r="G530" s="4">
        <f t="shared" si="26"/>
        <v>8.4833333361893892</v>
      </c>
      <c r="H530">
        <f>IF(COUNTIFS(B$2:B530,B530,E$2:E530,E530)=1,1,0)</f>
        <v>0</v>
      </c>
      <c r="I530">
        <f>IF(COUNTIFS(B$2:B530,B530,F$2:F530,F530)=1,1,0)</f>
        <v>0</v>
      </c>
    </row>
    <row r="531" spans="1:9" x14ac:dyDescent="0.3">
      <c r="A531">
        <v>541</v>
      </c>
      <c r="B531">
        <v>59</v>
      </c>
      <c r="C531" s="2">
        <v>44831.989629629628</v>
      </c>
      <c r="D531" s="2">
        <v>44831.995717592596</v>
      </c>
      <c r="E531" s="3">
        <f t="shared" si="24"/>
        <v>44831</v>
      </c>
      <c r="F531">
        <f t="shared" si="25"/>
        <v>9</v>
      </c>
      <c r="G531" s="4">
        <f t="shared" si="26"/>
        <v>8.7666666728910059</v>
      </c>
      <c r="H531">
        <f>IF(COUNTIFS(B$2:B531,B531,E$2:E531,E531)=1,1,0)</f>
        <v>0</v>
      </c>
      <c r="I531">
        <f>IF(COUNTIFS(B$2:B531,B531,F$2:F531,F531)=1,1,0)</f>
        <v>0</v>
      </c>
    </row>
    <row r="532" spans="1:9" x14ac:dyDescent="0.3">
      <c r="A532">
        <v>542</v>
      </c>
      <c r="B532">
        <v>59</v>
      </c>
      <c r="C532" s="2">
        <v>44832.201828703706</v>
      </c>
      <c r="D532" s="2">
        <v>44832.205335648148</v>
      </c>
      <c r="E532" s="3">
        <f t="shared" si="24"/>
        <v>44832</v>
      </c>
      <c r="F532">
        <f t="shared" si="25"/>
        <v>9</v>
      </c>
      <c r="G532" s="4">
        <f t="shared" si="26"/>
        <v>5.0499999965541065</v>
      </c>
      <c r="H532">
        <f>IF(COUNTIFS(B$2:B532,B532,E$2:E532,E532)=1,1,0)</f>
        <v>1</v>
      </c>
      <c r="I532">
        <f>IF(COUNTIFS(B$2:B532,B532,F$2:F532,F532)=1,1,0)</f>
        <v>0</v>
      </c>
    </row>
    <row r="533" spans="1:9" x14ac:dyDescent="0.3">
      <c r="A533">
        <v>543</v>
      </c>
      <c r="B533">
        <v>59</v>
      </c>
      <c r="C533" s="2">
        <v>44832.545439814814</v>
      </c>
      <c r="D533" s="2">
        <v>44832.55431712963</v>
      </c>
      <c r="E533" s="3">
        <f t="shared" si="24"/>
        <v>44832</v>
      </c>
      <c r="F533">
        <f t="shared" si="25"/>
        <v>9</v>
      </c>
      <c r="G533" s="4">
        <f t="shared" si="26"/>
        <v>12.783333335537463</v>
      </c>
      <c r="H533">
        <f>IF(COUNTIFS(B$2:B533,B533,E$2:E533,E533)=1,1,0)</f>
        <v>0</v>
      </c>
      <c r="I533">
        <f>IF(COUNTIFS(B$2:B533,B533,F$2:F533,F533)=1,1,0)</f>
        <v>0</v>
      </c>
    </row>
    <row r="534" spans="1:9" x14ac:dyDescent="0.3">
      <c r="A534">
        <v>544</v>
      </c>
      <c r="B534">
        <v>59</v>
      </c>
      <c r="C534" s="2">
        <v>44832.814085648148</v>
      </c>
      <c r="D534" s="2">
        <v>44832.822685185187</v>
      </c>
      <c r="E534" s="3">
        <f t="shared" si="24"/>
        <v>44832</v>
      </c>
      <c r="F534">
        <f t="shared" si="25"/>
        <v>9</v>
      </c>
      <c r="G534" s="4">
        <f t="shared" si="26"/>
        <v>12.383333336329088</v>
      </c>
      <c r="H534">
        <f>IF(COUNTIFS(B$2:B534,B534,E$2:E534,E534)=1,1,0)</f>
        <v>0</v>
      </c>
      <c r="I534">
        <f>IF(COUNTIFS(B$2:B534,B534,F$2:F534,F534)=1,1,0)</f>
        <v>0</v>
      </c>
    </row>
    <row r="535" spans="1:9" x14ac:dyDescent="0.3">
      <c r="A535">
        <v>545</v>
      </c>
      <c r="B535">
        <v>59</v>
      </c>
      <c r="C535" s="2">
        <v>44832.9531712963</v>
      </c>
      <c r="D535" s="2">
        <v>44832.95988425926</v>
      </c>
      <c r="E535" s="3">
        <f t="shared" si="24"/>
        <v>44832</v>
      </c>
      <c r="F535">
        <f t="shared" si="25"/>
        <v>9</v>
      </c>
      <c r="G535" s="4">
        <f t="shared" si="26"/>
        <v>9.6666666632518172</v>
      </c>
      <c r="H535">
        <f>IF(COUNTIFS(B$2:B535,B535,E$2:E535,E535)=1,1,0)</f>
        <v>0</v>
      </c>
      <c r="I535">
        <f>IF(COUNTIFS(B$2:B535,B535,F$2:F535,F535)=1,1,0)</f>
        <v>0</v>
      </c>
    </row>
    <row r="536" spans="1:9" x14ac:dyDescent="0.3">
      <c r="A536">
        <v>546</v>
      </c>
      <c r="B536">
        <v>59</v>
      </c>
      <c r="C536" s="2">
        <v>44833.023726851854</v>
      </c>
      <c r="D536" s="2">
        <v>44833.029074074075</v>
      </c>
      <c r="E536" s="3">
        <f t="shared" si="24"/>
        <v>44833</v>
      </c>
      <c r="F536">
        <f t="shared" si="25"/>
        <v>9</v>
      </c>
      <c r="G536" s="4">
        <f t="shared" si="26"/>
        <v>7.6999999978579581</v>
      </c>
      <c r="H536">
        <f>IF(COUNTIFS(B$2:B536,B536,E$2:E536,E536)=1,1,0)</f>
        <v>1</v>
      </c>
      <c r="I536">
        <f>IF(COUNTIFS(B$2:B536,B536,F$2:F536,F536)=1,1,0)</f>
        <v>0</v>
      </c>
    </row>
    <row r="537" spans="1:9" x14ac:dyDescent="0.3">
      <c r="A537">
        <v>547</v>
      </c>
      <c r="B537">
        <v>59</v>
      </c>
      <c r="C537" s="2">
        <v>44833.375405092593</v>
      </c>
      <c r="D537" s="2">
        <v>44833.381643518522</v>
      </c>
      <c r="E537" s="3">
        <f t="shared" si="24"/>
        <v>44833</v>
      </c>
      <c r="F537">
        <f t="shared" si="25"/>
        <v>9</v>
      </c>
      <c r="G537" s="4">
        <f t="shared" si="26"/>
        <v>8.9833333378192037</v>
      </c>
      <c r="H537">
        <f>IF(COUNTIFS(B$2:B537,B537,E$2:E537,E537)=1,1,0)</f>
        <v>0</v>
      </c>
      <c r="I537">
        <f>IF(COUNTIFS(B$2:B537,B537,F$2:F537,F537)=1,1,0)</f>
        <v>0</v>
      </c>
    </row>
    <row r="538" spans="1:9" x14ac:dyDescent="0.3">
      <c r="A538">
        <v>548</v>
      </c>
      <c r="B538">
        <v>59</v>
      </c>
      <c r="C538" s="2">
        <v>44833.507719907408</v>
      </c>
      <c r="D538" s="2">
        <v>44833.512071759258</v>
      </c>
      <c r="E538" s="3">
        <f t="shared" si="24"/>
        <v>44833</v>
      </c>
      <c r="F538">
        <f t="shared" si="25"/>
        <v>9</v>
      </c>
      <c r="G538" s="4">
        <f t="shared" si="26"/>
        <v>6.2666666647419333</v>
      </c>
      <c r="H538">
        <f>IF(COUNTIFS(B$2:B538,B538,E$2:E538,E538)=1,1,0)</f>
        <v>0</v>
      </c>
      <c r="I538">
        <f>IF(COUNTIFS(B$2:B538,B538,F$2:F538,F538)=1,1,0)</f>
        <v>0</v>
      </c>
    </row>
    <row r="539" spans="1:9" x14ac:dyDescent="0.3">
      <c r="A539">
        <v>549</v>
      </c>
      <c r="B539">
        <v>59</v>
      </c>
      <c r="C539" s="2">
        <v>44833.828877314816</v>
      </c>
      <c r="D539" s="2">
        <v>44833.836608796293</v>
      </c>
      <c r="E539" s="3">
        <f t="shared" si="24"/>
        <v>44833</v>
      </c>
      <c r="F539">
        <f t="shared" si="25"/>
        <v>9</v>
      </c>
      <c r="G539" s="4">
        <f t="shared" si="26"/>
        <v>11.133333327015862</v>
      </c>
      <c r="H539">
        <f>IF(COUNTIFS(B$2:B539,B539,E$2:E539,E539)=1,1,0)</f>
        <v>0</v>
      </c>
      <c r="I539">
        <f>IF(COUNTIFS(B$2:B539,B539,F$2:F539,F539)=1,1,0)</f>
        <v>0</v>
      </c>
    </row>
    <row r="540" spans="1:9" x14ac:dyDescent="0.3">
      <c r="A540">
        <v>550</v>
      </c>
      <c r="B540">
        <v>59</v>
      </c>
      <c r="C540" s="2">
        <v>44834.173645833333</v>
      </c>
      <c r="D540" s="2">
        <v>44834.181354166663</v>
      </c>
      <c r="E540" s="3">
        <f t="shared" si="24"/>
        <v>44834</v>
      </c>
      <c r="F540">
        <f t="shared" si="25"/>
        <v>9</v>
      </c>
      <c r="G540" s="4">
        <f t="shared" si="26"/>
        <v>11.099999996367842</v>
      </c>
      <c r="H540">
        <f>IF(COUNTIFS(B$2:B540,B540,E$2:E540,E540)=1,1,0)</f>
        <v>1</v>
      </c>
      <c r="I540">
        <f>IF(COUNTIFS(B$2:B540,B540,F$2:F540,F540)=1,1,0)</f>
        <v>0</v>
      </c>
    </row>
    <row r="541" spans="1:9" x14ac:dyDescent="0.3">
      <c r="A541">
        <v>551</v>
      </c>
      <c r="B541">
        <v>59</v>
      </c>
      <c r="C541" s="2">
        <v>44834.359270833331</v>
      </c>
      <c r="D541" s="2">
        <v>44834.365324074075</v>
      </c>
      <c r="E541" s="3">
        <f t="shared" si="24"/>
        <v>44834</v>
      </c>
      <c r="F541">
        <f t="shared" si="25"/>
        <v>9</v>
      </c>
      <c r="G541" s="4">
        <f t="shared" si="26"/>
        <v>8.7166666716802865</v>
      </c>
      <c r="H541">
        <f>IF(COUNTIFS(B$2:B541,B541,E$2:E541,E541)=1,1,0)</f>
        <v>0</v>
      </c>
      <c r="I541">
        <f>IF(COUNTIFS(B$2:B541,B541,F$2:F541,F541)=1,1,0)</f>
        <v>0</v>
      </c>
    </row>
    <row r="542" spans="1:9" x14ac:dyDescent="0.3">
      <c r="A542">
        <v>552</v>
      </c>
      <c r="B542">
        <v>59</v>
      </c>
      <c r="C542" s="2">
        <v>44834.533275462964</v>
      </c>
      <c r="D542" s="2">
        <v>44834.539317129631</v>
      </c>
      <c r="E542" s="3">
        <f t="shared" si="24"/>
        <v>44834</v>
      </c>
      <c r="F542">
        <f t="shared" si="25"/>
        <v>9</v>
      </c>
      <c r="G542" s="4">
        <f t="shared" si="26"/>
        <v>8.7000000011175871</v>
      </c>
      <c r="H542">
        <f>IF(COUNTIFS(B$2:B542,B542,E$2:E542,E542)=1,1,0)</f>
        <v>0</v>
      </c>
      <c r="I542">
        <f>IF(COUNTIFS(B$2:B542,B542,F$2:F542,F542)=1,1,0)</f>
        <v>0</v>
      </c>
    </row>
    <row r="543" spans="1:9" x14ac:dyDescent="0.3">
      <c r="A543">
        <v>553</v>
      </c>
      <c r="B543">
        <v>59</v>
      </c>
      <c r="C543" s="2">
        <v>44834.643888888888</v>
      </c>
      <c r="D543" s="2">
        <v>44834.650555555556</v>
      </c>
      <c r="E543" s="3">
        <f t="shared" si="24"/>
        <v>44834</v>
      </c>
      <c r="F543">
        <f t="shared" si="25"/>
        <v>9</v>
      </c>
      <c r="G543" s="4">
        <f t="shared" si="26"/>
        <v>9.6000000019557774</v>
      </c>
      <c r="H543">
        <f>IF(COUNTIFS(B$2:B543,B543,E$2:E543,E543)=1,1,0)</f>
        <v>0</v>
      </c>
      <c r="I543">
        <f>IF(COUNTIFS(B$2:B543,B543,F$2:F543,F543)=1,1,0)</f>
        <v>0</v>
      </c>
    </row>
    <row r="544" spans="1:9" x14ac:dyDescent="0.3">
      <c r="A544">
        <v>554</v>
      </c>
      <c r="B544">
        <v>59</v>
      </c>
      <c r="C544" s="2">
        <v>44834.936655092592</v>
      </c>
      <c r="D544" s="2">
        <v>44834.94021990741</v>
      </c>
      <c r="E544" s="3">
        <f t="shared" si="24"/>
        <v>44834</v>
      </c>
      <c r="F544">
        <f t="shared" si="25"/>
        <v>9</v>
      </c>
      <c r="G544" s="4">
        <f t="shared" si="26"/>
        <v>5.1333333388902247</v>
      </c>
      <c r="H544">
        <f>IF(COUNTIFS(B$2:B544,B544,E$2:E544,E544)=1,1,0)</f>
        <v>0</v>
      </c>
      <c r="I544">
        <f>IF(COUNTIFS(B$2:B544,B544,F$2:F544,F544)=1,1,0)</f>
        <v>0</v>
      </c>
    </row>
    <row r="545" spans="1:9" x14ac:dyDescent="0.3">
      <c r="A545">
        <v>555</v>
      </c>
      <c r="B545">
        <v>59</v>
      </c>
      <c r="C545" s="2">
        <v>44835.061863425923</v>
      </c>
      <c r="D545" s="2">
        <v>44835.066782407404</v>
      </c>
      <c r="E545" s="3">
        <f t="shared" si="24"/>
        <v>44835</v>
      </c>
      <c r="F545">
        <f t="shared" si="25"/>
        <v>10</v>
      </c>
      <c r="G545" s="4">
        <f t="shared" si="26"/>
        <v>7.0833333337213844</v>
      </c>
      <c r="H545">
        <f>IF(COUNTIFS(B$2:B545,B545,E$2:E545,E545)=1,1,0)</f>
        <v>1</v>
      </c>
      <c r="I545">
        <f>IF(COUNTIFS(B$2:B545,B545,F$2:F545,F545)=1,1,0)</f>
        <v>1</v>
      </c>
    </row>
    <row r="546" spans="1:9" x14ac:dyDescent="0.3">
      <c r="A546">
        <v>556</v>
      </c>
      <c r="B546">
        <v>59</v>
      </c>
      <c r="C546" s="2">
        <v>44835.324247685188</v>
      </c>
      <c r="D546" s="2">
        <v>44835.328587962962</v>
      </c>
      <c r="E546" s="3">
        <f t="shared" si="24"/>
        <v>44835</v>
      </c>
      <c r="F546">
        <f t="shared" si="25"/>
        <v>10</v>
      </c>
      <c r="G546" s="4">
        <f t="shared" si="26"/>
        <v>6.2499999941792339</v>
      </c>
      <c r="H546">
        <f>IF(COUNTIFS(B$2:B546,B546,E$2:E546,E546)=1,1,0)</f>
        <v>0</v>
      </c>
      <c r="I546">
        <f>IF(COUNTIFS(B$2:B546,B546,F$2:F546,F546)=1,1,0)</f>
        <v>0</v>
      </c>
    </row>
    <row r="547" spans="1:9" x14ac:dyDescent="0.3">
      <c r="A547">
        <v>557</v>
      </c>
      <c r="B547">
        <v>59</v>
      </c>
      <c r="C547" s="2">
        <v>44835.372094907405</v>
      </c>
      <c r="D547" s="2">
        <v>44835.376921296294</v>
      </c>
      <c r="E547" s="3">
        <f t="shared" si="24"/>
        <v>44835</v>
      </c>
      <c r="F547">
        <f t="shared" si="25"/>
        <v>10</v>
      </c>
      <c r="G547" s="4">
        <f t="shared" si="26"/>
        <v>6.9500000006519258</v>
      </c>
      <c r="H547">
        <f>IF(COUNTIFS(B$2:B547,B547,E$2:E547,E547)=1,1,0)</f>
        <v>0</v>
      </c>
      <c r="I547">
        <f>IF(COUNTIFS(B$2:B547,B547,F$2:F547,F547)=1,1,0)</f>
        <v>0</v>
      </c>
    </row>
    <row r="548" spans="1:9" x14ac:dyDescent="0.3">
      <c r="A548">
        <v>558</v>
      </c>
      <c r="B548">
        <v>59</v>
      </c>
      <c r="C548" s="2">
        <v>44835.664525462962</v>
      </c>
      <c r="D548" s="2">
        <v>44835.675428240742</v>
      </c>
      <c r="E548" s="3">
        <f t="shared" si="24"/>
        <v>44835</v>
      </c>
      <c r="F548">
        <f t="shared" si="25"/>
        <v>10</v>
      </c>
      <c r="G548" s="4">
        <f t="shared" si="26"/>
        <v>15.700000002980232</v>
      </c>
      <c r="H548">
        <f>IF(COUNTIFS(B$2:B548,B548,E$2:E548,E548)=1,1,0)</f>
        <v>0</v>
      </c>
      <c r="I548">
        <f>IF(COUNTIFS(B$2:B548,B548,F$2:F548,F548)=1,1,0)</f>
        <v>0</v>
      </c>
    </row>
    <row r="549" spans="1:9" x14ac:dyDescent="0.3">
      <c r="A549">
        <v>559</v>
      </c>
      <c r="B549">
        <v>59</v>
      </c>
      <c r="C549" s="2">
        <v>44836.01122685185</v>
      </c>
      <c r="D549" s="2">
        <v>44836.016562500001</v>
      </c>
      <c r="E549" s="3">
        <f t="shared" si="24"/>
        <v>44836</v>
      </c>
      <c r="F549">
        <f t="shared" si="25"/>
        <v>10</v>
      </c>
      <c r="G549" s="4">
        <f t="shared" si="26"/>
        <v>7.6833333377726376</v>
      </c>
      <c r="H549">
        <f>IF(COUNTIFS(B$2:B549,B549,E$2:E549,E549)=1,1,0)</f>
        <v>1</v>
      </c>
      <c r="I549">
        <f>IF(COUNTIFS(B$2:B549,B549,F$2:F549,F549)=1,1,0)</f>
        <v>0</v>
      </c>
    </row>
    <row r="550" spans="1:9" x14ac:dyDescent="0.3">
      <c r="A550">
        <v>560</v>
      </c>
      <c r="B550">
        <v>59</v>
      </c>
      <c r="C550" s="2">
        <v>44836.071793981479</v>
      </c>
      <c r="D550" s="2">
        <v>44836.08085648148</v>
      </c>
      <c r="E550" s="3">
        <f t="shared" si="24"/>
        <v>44836</v>
      </c>
      <c r="F550">
        <f t="shared" si="25"/>
        <v>10</v>
      </c>
      <c r="G550" s="4">
        <f t="shared" si="26"/>
        <v>13.050000001676381</v>
      </c>
      <c r="H550">
        <f>IF(COUNTIFS(B$2:B550,B550,E$2:E550,E550)=1,1,0)</f>
        <v>0</v>
      </c>
      <c r="I550">
        <f>IF(COUNTIFS(B$2:B550,B550,F$2:F550,F550)=1,1,0)</f>
        <v>0</v>
      </c>
    </row>
    <row r="551" spans="1:9" x14ac:dyDescent="0.3">
      <c r="A551">
        <v>561</v>
      </c>
      <c r="B551">
        <v>59</v>
      </c>
      <c r="C551" s="2">
        <v>44836.421365740738</v>
      </c>
      <c r="D551" s="2">
        <v>44836.431643518517</v>
      </c>
      <c r="E551" s="3">
        <f t="shared" si="24"/>
        <v>44836</v>
      </c>
      <c r="F551">
        <f t="shared" si="25"/>
        <v>10</v>
      </c>
      <c r="G551" s="4">
        <f t="shared" si="26"/>
        <v>14.800000002142042</v>
      </c>
      <c r="H551">
        <f>IF(COUNTIFS(B$2:B551,B551,E$2:E551,E551)=1,1,0)</f>
        <v>0</v>
      </c>
      <c r="I551">
        <f>IF(COUNTIFS(B$2:B551,B551,F$2:F551,F551)=1,1,0)</f>
        <v>0</v>
      </c>
    </row>
    <row r="552" spans="1:9" x14ac:dyDescent="0.3">
      <c r="A552">
        <v>562</v>
      </c>
      <c r="B552">
        <v>59</v>
      </c>
      <c r="C552" s="2">
        <v>44836.737337962964</v>
      </c>
      <c r="D552" s="2">
        <v>44836.739687499998</v>
      </c>
      <c r="E552" s="3">
        <f t="shared" si="24"/>
        <v>44836</v>
      </c>
      <c r="F552">
        <f t="shared" si="25"/>
        <v>10</v>
      </c>
      <c r="G552" s="4">
        <f t="shared" si="26"/>
        <v>3.3833333279471844</v>
      </c>
      <c r="H552">
        <f>IF(COUNTIFS(B$2:B552,B552,E$2:E552,E552)=1,1,0)</f>
        <v>0</v>
      </c>
      <c r="I552">
        <f>IF(COUNTIFS(B$2:B552,B552,F$2:F552,F552)=1,1,0)</f>
        <v>0</v>
      </c>
    </row>
    <row r="553" spans="1:9" x14ac:dyDescent="0.3">
      <c r="A553">
        <v>563</v>
      </c>
      <c r="B553">
        <v>59</v>
      </c>
      <c r="C553" s="2">
        <v>44836.825636574074</v>
      </c>
      <c r="D553" s="2">
        <v>44836.828599537039</v>
      </c>
      <c r="E553" s="3">
        <f t="shared" si="24"/>
        <v>44836</v>
      </c>
      <c r="F553">
        <f t="shared" si="25"/>
        <v>10</v>
      </c>
      <c r="G553" s="4">
        <f t="shared" si="26"/>
        <v>4.2666666687000543</v>
      </c>
      <c r="H553">
        <f>IF(COUNTIFS(B$2:B553,B553,E$2:E553,E553)=1,1,0)</f>
        <v>0</v>
      </c>
      <c r="I553">
        <f>IF(COUNTIFS(B$2:B553,B553,F$2:F553,F553)=1,1,0)</f>
        <v>0</v>
      </c>
    </row>
    <row r="554" spans="1:9" x14ac:dyDescent="0.3">
      <c r="A554">
        <v>564</v>
      </c>
      <c r="B554">
        <v>59</v>
      </c>
      <c r="C554" s="2">
        <v>44837.068819444445</v>
      </c>
      <c r="D554" s="2">
        <v>44837.074594907404</v>
      </c>
      <c r="E554" s="3">
        <f t="shared" si="24"/>
        <v>44837</v>
      </c>
      <c r="F554">
        <f t="shared" si="25"/>
        <v>10</v>
      </c>
      <c r="G554" s="4">
        <f t="shared" si="26"/>
        <v>8.3166666619945318</v>
      </c>
      <c r="H554">
        <f>IF(COUNTIFS(B$2:B554,B554,E$2:E554,E554)=1,1,0)</f>
        <v>1</v>
      </c>
      <c r="I554">
        <f>IF(COUNTIFS(B$2:B554,B554,F$2:F554,F554)=1,1,0)</f>
        <v>0</v>
      </c>
    </row>
    <row r="555" spans="1:9" x14ac:dyDescent="0.3">
      <c r="A555">
        <v>565</v>
      </c>
      <c r="B555">
        <v>59</v>
      </c>
      <c r="C555" s="2">
        <v>44837.190706018519</v>
      </c>
      <c r="D555" s="2">
        <v>44837.200787037036</v>
      </c>
      <c r="E555" s="3">
        <f t="shared" si="24"/>
        <v>44837</v>
      </c>
      <c r="F555">
        <f t="shared" si="25"/>
        <v>10</v>
      </c>
      <c r="G555" s="4">
        <f t="shared" si="26"/>
        <v>14.516666665440425</v>
      </c>
      <c r="H555">
        <f>IF(COUNTIFS(B$2:B555,B555,E$2:E555,E555)=1,1,0)</f>
        <v>0</v>
      </c>
      <c r="I555">
        <f>IF(COUNTIFS(B$2:B555,B555,F$2:F555,F555)=1,1,0)</f>
        <v>0</v>
      </c>
    </row>
    <row r="556" spans="1:9" x14ac:dyDescent="0.3">
      <c r="A556">
        <v>566</v>
      </c>
      <c r="B556">
        <v>59</v>
      </c>
      <c r="C556" s="2">
        <v>44837.336597222224</v>
      </c>
      <c r="D556" s="2">
        <v>44837.346550925926</v>
      </c>
      <c r="E556" s="3">
        <f t="shared" si="24"/>
        <v>44837</v>
      </c>
      <c r="F556">
        <f t="shared" si="25"/>
        <v>10</v>
      </c>
      <c r="G556" s="4">
        <f t="shared" si="26"/>
        <v>14.333333331160247</v>
      </c>
      <c r="H556">
        <f>IF(COUNTIFS(B$2:B556,B556,E$2:E556,E556)=1,1,0)</f>
        <v>0</v>
      </c>
      <c r="I556">
        <f>IF(COUNTIFS(B$2:B556,B556,F$2:F556,F556)=1,1,0)</f>
        <v>0</v>
      </c>
    </row>
    <row r="557" spans="1:9" x14ac:dyDescent="0.3">
      <c r="A557">
        <v>567</v>
      </c>
      <c r="B557">
        <v>59</v>
      </c>
      <c r="C557" s="2">
        <v>44837.40347222222</v>
      </c>
      <c r="D557" s="2">
        <v>44837.41138888889</v>
      </c>
      <c r="E557" s="3">
        <f t="shared" si="24"/>
        <v>44837</v>
      </c>
      <c r="F557">
        <f t="shared" si="25"/>
        <v>10</v>
      </c>
      <c r="G557" s="4">
        <f t="shared" si="26"/>
        <v>11.400000003632158</v>
      </c>
      <c r="H557">
        <f>IF(COUNTIFS(B$2:B557,B557,E$2:E557,E557)=1,1,0)</f>
        <v>0</v>
      </c>
      <c r="I557">
        <f>IF(COUNTIFS(B$2:B557,B557,F$2:F557,F557)=1,1,0)</f>
        <v>0</v>
      </c>
    </row>
    <row r="558" spans="1:9" x14ac:dyDescent="0.3">
      <c r="A558">
        <v>568</v>
      </c>
      <c r="B558">
        <v>59</v>
      </c>
      <c r="C558" s="2">
        <v>44837.519375000003</v>
      </c>
      <c r="D558" s="2">
        <v>44837.525613425925</v>
      </c>
      <c r="E558" s="3">
        <f t="shared" si="24"/>
        <v>44837</v>
      </c>
      <c r="F558">
        <f t="shared" si="25"/>
        <v>10</v>
      </c>
      <c r="G558" s="4">
        <f t="shared" si="26"/>
        <v>8.9833333273418248</v>
      </c>
      <c r="H558">
        <f>IF(COUNTIFS(B$2:B558,B558,E$2:E558,E558)=1,1,0)</f>
        <v>0</v>
      </c>
      <c r="I558">
        <f>IF(COUNTIFS(B$2:B558,B558,F$2:F558,F558)=1,1,0)</f>
        <v>0</v>
      </c>
    </row>
    <row r="559" spans="1:9" x14ac:dyDescent="0.3">
      <c r="A559">
        <v>569</v>
      </c>
      <c r="B559">
        <v>59</v>
      </c>
      <c r="C559" s="2">
        <v>44837.672175925924</v>
      </c>
      <c r="D559" s="2">
        <v>44837.678912037038</v>
      </c>
      <c r="E559" s="3">
        <f t="shared" si="24"/>
        <v>44837</v>
      </c>
      <c r="F559">
        <f t="shared" si="25"/>
        <v>10</v>
      </c>
      <c r="G559" s="4">
        <f t="shared" si="26"/>
        <v>9.7000000043772161</v>
      </c>
      <c r="H559">
        <f>IF(COUNTIFS(B$2:B559,B559,E$2:E559,E559)=1,1,0)</f>
        <v>0</v>
      </c>
      <c r="I559">
        <f>IF(COUNTIFS(B$2:B559,B559,F$2:F559,F559)=1,1,0)</f>
        <v>0</v>
      </c>
    </row>
    <row r="560" spans="1:9" x14ac:dyDescent="0.3">
      <c r="A560">
        <v>570</v>
      </c>
      <c r="B560">
        <v>59</v>
      </c>
      <c r="C560" s="2">
        <v>44837.953842592593</v>
      </c>
      <c r="D560" s="2">
        <v>44837.958993055552</v>
      </c>
      <c r="E560" s="3">
        <f t="shared" si="24"/>
        <v>44837</v>
      </c>
      <c r="F560">
        <f t="shared" si="25"/>
        <v>10</v>
      </c>
      <c r="G560" s="4">
        <f t="shared" si="26"/>
        <v>7.4166666611563414</v>
      </c>
      <c r="H560">
        <f>IF(COUNTIFS(B$2:B560,B560,E$2:E560,E560)=1,1,0)</f>
        <v>0</v>
      </c>
      <c r="I560">
        <f>IF(COUNTIFS(B$2:B560,B560,F$2:F560,F560)=1,1,0)</f>
        <v>0</v>
      </c>
    </row>
    <row r="561" spans="1:9" x14ac:dyDescent="0.3">
      <c r="A561">
        <v>571</v>
      </c>
      <c r="B561">
        <v>59</v>
      </c>
      <c r="C561" s="2">
        <v>44838.179212962961</v>
      </c>
      <c r="D561" s="2">
        <v>44838.185798611114</v>
      </c>
      <c r="E561" s="3">
        <f t="shared" si="24"/>
        <v>44838</v>
      </c>
      <c r="F561">
        <f t="shared" si="25"/>
        <v>10</v>
      </c>
      <c r="G561" s="4">
        <f t="shared" si="26"/>
        <v>9.4833333394490182</v>
      </c>
      <c r="H561">
        <f>IF(COUNTIFS(B$2:B561,B561,E$2:E561,E561)=1,1,0)</f>
        <v>1</v>
      </c>
      <c r="I561">
        <f>IF(COUNTIFS(B$2:B561,B561,F$2:F561,F561)=1,1,0)</f>
        <v>0</v>
      </c>
    </row>
    <row r="562" spans="1:9" x14ac:dyDescent="0.3">
      <c r="A562">
        <v>572</v>
      </c>
      <c r="B562">
        <v>59</v>
      </c>
      <c r="C562" s="2">
        <v>44838.435127314813</v>
      </c>
      <c r="D562" s="2">
        <v>44838.438252314816</v>
      </c>
      <c r="E562" s="3">
        <f t="shared" si="24"/>
        <v>44838</v>
      </c>
      <c r="F562">
        <f t="shared" si="25"/>
        <v>10</v>
      </c>
      <c r="G562" s="4">
        <f t="shared" si="26"/>
        <v>4.5000000041909516</v>
      </c>
      <c r="H562">
        <f>IF(COUNTIFS(B$2:B562,B562,E$2:E562,E562)=1,1,0)</f>
        <v>0</v>
      </c>
      <c r="I562">
        <f>IF(COUNTIFS(B$2:B562,B562,F$2:F562,F562)=1,1,0)</f>
        <v>0</v>
      </c>
    </row>
    <row r="563" spans="1:9" x14ac:dyDescent="0.3">
      <c r="A563">
        <v>573</v>
      </c>
      <c r="B563">
        <v>59</v>
      </c>
      <c r="C563" s="2">
        <v>44838.622083333335</v>
      </c>
      <c r="D563" s="2">
        <v>44838.631018518521</v>
      </c>
      <c r="E563" s="3">
        <f t="shared" si="24"/>
        <v>44838</v>
      </c>
      <c r="F563">
        <f t="shared" si="25"/>
        <v>10</v>
      </c>
      <c r="G563" s="4">
        <f t="shared" si="26"/>
        <v>12.866666667396203</v>
      </c>
      <c r="H563">
        <f>IF(COUNTIFS(B$2:B563,B563,E$2:E563,E563)=1,1,0)</f>
        <v>0</v>
      </c>
      <c r="I563">
        <f>IF(COUNTIFS(B$2:B563,B563,F$2:F563,F563)=1,1,0)</f>
        <v>0</v>
      </c>
    </row>
    <row r="564" spans="1:9" x14ac:dyDescent="0.3">
      <c r="A564">
        <v>574</v>
      </c>
      <c r="B564">
        <v>59</v>
      </c>
      <c r="C564" s="2">
        <v>44838.803865740738</v>
      </c>
      <c r="D564" s="2">
        <v>44838.812083333331</v>
      </c>
      <c r="E564" s="3">
        <f t="shared" si="24"/>
        <v>44838</v>
      </c>
      <c r="F564">
        <f t="shared" si="25"/>
        <v>10</v>
      </c>
      <c r="G564" s="4">
        <f t="shared" si="26"/>
        <v>11.833333333488554</v>
      </c>
      <c r="H564">
        <f>IF(COUNTIFS(B$2:B564,B564,E$2:E564,E564)=1,1,0)</f>
        <v>0</v>
      </c>
      <c r="I564">
        <f>IF(COUNTIFS(B$2:B564,B564,F$2:F564,F564)=1,1,0)</f>
        <v>0</v>
      </c>
    </row>
    <row r="565" spans="1:9" x14ac:dyDescent="0.3">
      <c r="A565">
        <v>575</v>
      </c>
      <c r="B565">
        <v>59</v>
      </c>
      <c r="C565" s="2">
        <v>44838.883599537039</v>
      </c>
      <c r="D565" s="2">
        <v>44838.889247685183</v>
      </c>
      <c r="E565" s="3">
        <f t="shared" si="24"/>
        <v>44838</v>
      </c>
      <c r="F565">
        <f t="shared" si="25"/>
        <v>10</v>
      </c>
      <c r="G565" s="4">
        <f t="shared" si="26"/>
        <v>8.1333333277143538</v>
      </c>
      <c r="H565">
        <f>IF(COUNTIFS(B$2:B565,B565,E$2:E565,E565)=1,1,0)</f>
        <v>0</v>
      </c>
      <c r="I565">
        <f>IF(COUNTIFS(B$2:B565,B565,F$2:F565,F565)=1,1,0)</f>
        <v>0</v>
      </c>
    </row>
    <row r="566" spans="1:9" x14ac:dyDescent="0.3">
      <c r="A566">
        <v>576</v>
      </c>
      <c r="B566">
        <v>59</v>
      </c>
      <c r="C566" s="2">
        <v>44839.047094907408</v>
      </c>
      <c r="D566" s="2">
        <v>44839.054571759261</v>
      </c>
      <c r="E566" s="3">
        <f t="shared" si="24"/>
        <v>44839</v>
      </c>
      <c r="F566">
        <f t="shared" si="25"/>
        <v>10</v>
      </c>
      <c r="G566" s="4">
        <f t="shared" si="26"/>
        <v>10.766666668932885</v>
      </c>
      <c r="H566">
        <f>IF(COUNTIFS(B$2:B566,B566,E$2:E566,E566)=1,1,0)</f>
        <v>1</v>
      </c>
      <c r="I566">
        <f>IF(COUNTIFS(B$2:B566,B566,F$2:F566,F566)=1,1,0)</f>
        <v>0</v>
      </c>
    </row>
    <row r="567" spans="1:9" x14ac:dyDescent="0.3">
      <c r="A567">
        <v>577</v>
      </c>
      <c r="B567">
        <v>60</v>
      </c>
      <c r="C567" s="2">
        <v>44577.107407407406</v>
      </c>
      <c r="D567" s="2">
        <v>44577.112754629627</v>
      </c>
      <c r="E567" s="3">
        <f t="shared" si="24"/>
        <v>44577</v>
      </c>
      <c r="F567">
        <f t="shared" si="25"/>
        <v>1</v>
      </c>
      <c r="G567" s="4">
        <f t="shared" si="26"/>
        <v>7.6999999978579581</v>
      </c>
      <c r="H567">
        <f>IF(COUNTIFS(B$2:B567,B567,E$2:E567,E567)=1,1,0)</f>
        <v>1</v>
      </c>
      <c r="I567">
        <f>IF(COUNTIFS(B$2:B567,B567,F$2:F567,F567)=1,1,0)</f>
        <v>1</v>
      </c>
    </row>
    <row r="568" spans="1:9" x14ac:dyDescent="0.3">
      <c r="A568">
        <v>578</v>
      </c>
      <c r="B568">
        <v>61</v>
      </c>
      <c r="C568" s="2">
        <v>44697.524340277778</v>
      </c>
      <c r="D568" s="2">
        <v>44697.530289351853</v>
      </c>
      <c r="E568" s="3">
        <f t="shared" si="24"/>
        <v>44697</v>
      </c>
      <c r="F568">
        <f t="shared" si="25"/>
        <v>5</v>
      </c>
      <c r="G568" s="4">
        <f t="shared" si="26"/>
        <v>8.5666666680481285</v>
      </c>
      <c r="H568">
        <f>IF(COUNTIFS(B$2:B568,B568,E$2:E568,E568)=1,1,0)</f>
        <v>1</v>
      </c>
      <c r="I568">
        <f>IF(COUNTIFS(B$2:B568,B568,F$2:F568,F568)=1,1,0)</f>
        <v>1</v>
      </c>
    </row>
    <row r="569" spans="1:9" x14ac:dyDescent="0.3">
      <c r="A569">
        <v>579</v>
      </c>
      <c r="B569">
        <v>62</v>
      </c>
      <c r="C569" s="2">
        <v>44598.746400462966</v>
      </c>
      <c r="D569" s="2">
        <v>44598.751689814817</v>
      </c>
      <c r="E569" s="3">
        <f t="shared" si="24"/>
        <v>44598</v>
      </c>
      <c r="F569">
        <f t="shared" si="25"/>
        <v>2</v>
      </c>
      <c r="G569" s="4">
        <f t="shared" si="26"/>
        <v>7.6166666659992188</v>
      </c>
      <c r="H569">
        <f>IF(COUNTIFS(B$2:B569,B569,E$2:E569,E569)=1,1,0)</f>
        <v>1</v>
      </c>
      <c r="I569">
        <f>IF(COUNTIFS(B$2:B569,B569,F$2:F569,F569)=1,1,0)</f>
        <v>1</v>
      </c>
    </row>
    <row r="570" spans="1:9" x14ac:dyDescent="0.3">
      <c r="A570">
        <v>580</v>
      </c>
      <c r="B570">
        <v>63</v>
      </c>
      <c r="C570" s="2">
        <v>44780.912280092591</v>
      </c>
      <c r="D570" s="2">
        <v>44780.921018518522</v>
      </c>
      <c r="E570" s="3">
        <f t="shared" si="24"/>
        <v>44780</v>
      </c>
      <c r="F570">
        <f t="shared" si="25"/>
        <v>8</v>
      </c>
      <c r="G570" s="4">
        <f t="shared" si="26"/>
        <v>12.583333341171965</v>
      </c>
      <c r="H570">
        <f>IF(COUNTIFS(B$2:B570,B570,E$2:E570,E570)=1,1,0)</f>
        <v>1</v>
      </c>
      <c r="I570">
        <f>IF(COUNTIFS(B$2:B570,B570,F$2:F570,F570)=1,1,0)</f>
        <v>1</v>
      </c>
    </row>
    <row r="571" spans="1:9" x14ac:dyDescent="0.3">
      <c r="A571">
        <v>581</v>
      </c>
      <c r="B571">
        <v>63</v>
      </c>
      <c r="C571" s="2">
        <v>44781.159710648149</v>
      </c>
      <c r="D571" s="2">
        <v>44781.162685185183</v>
      </c>
      <c r="E571" s="3">
        <f t="shared" si="24"/>
        <v>44781</v>
      </c>
      <c r="F571">
        <f t="shared" si="25"/>
        <v>8</v>
      </c>
      <c r="G571" s="4">
        <f t="shared" si="26"/>
        <v>4.2833333287853748</v>
      </c>
      <c r="H571">
        <f>IF(COUNTIFS(B$2:B571,B571,E$2:E571,E571)=1,1,0)</f>
        <v>1</v>
      </c>
      <c r="I571">
        <f>IF(COUNTIFS(B$2:B571,B571,F$2:F571,F571)=1,1,0)</f>
        <v>0</v>
      </c>
    </row>
    <row r="572" spans="1:9" x14ac:dyDescent="0.3">
      <c r="A572">
        <v>582</v>
      </c>
      <c r="B572">
        <v>63</v>
      </c>
      <c r="C572" s="2">
        <v>44781.207557870373</v>
      </c>
      <c r="D572" s="2">
        <v>44781.215833333335</v>
      </c>
      <c r="E572" s="3">
        <f t="shared" si="24"/>
        <v>44781</v>
      </c>
      <c r="F572">
        <f t="shared" si="25"/>
        <v>8</v>
      </c>
      <c r="G572" s="4">
        <f t="shared" si="26"/>
        <v>11.916666665347293</v>
      </c>
      <c r="H572">
        <f>IF(COUNTIFS(B$2:B572,B572,E$2:E572,E572)=1,1,0)</f>
        <v>0</v>
      </c>
      <c r="I572">
        <f>IF(COUNTIFS(B$2:B572,B572,F$2:F572,F572)=1,1,0)</f>
        <v>0</v>
      </c>
    </row>
    <row r="573" spans="1:9" x14ac:dyDescent="0.3">
      <c r="A573">
        <v>583</v>
      </c>
      <c r="B573">
        <v>63</v>
      </c>
      <c r="C573" s="2">
        <v>44781.430509259262</v>
      </c>
      <c r="D573" s="2">
        <v>44781.438414351855</v>
      </c>
      <c r="E573" s="3">
        <f t="shared" si="24"/>
        <v>44781</v>
      </c>
      <c r="F573">
        <f t="shared" si="25"/>
        <v>8</v>
      </c>
      <c r="G573" s="4">
        <f t="shared" si="26"/>
        <v>11.383333333069459</v>
      </c>
      <c r="H573">
        <f>IF(COUNTIFS(B$2:B573,B573,E$2:E573,E573)=1,1,0)</f>
        <v>0</v>
      </c>
      <c r="I573">
        <f>IF(COUNTIFS(B$2:B573,B573,F$2:F573,F573)=1,1,0)</f>
        <v>0</v>
      </c>
    </row>
    <row r="574" spans="1:9" x14ac:dyDescent="0.3">
      <c r="A574">
        <v>584</v>
      </c>
      <c r="B574">
        <v>63</v>
      </c>
      <c r="C574" s="2">
        <v>44781.741157407407</v>
      </c>
      <c r="D574" s="2">
        <v>44781.749108796299</v>
      </c>
      <c r="E574" s="3">
        <f t="shared" si="24"/>
        <v>44781</v>
      </c>
      <c r="F574">
        <f t="shared" si="25"/>
        <v>8</v>
      </c>
      <c r="G574" s="4">
        <f t="shared" si="26"/>
        <v>11.450000004842877</v>
      </c>
      <c r="H574">
        <f>IF(COUNTIFS(B$2:B574,B574,E$2:E574,E574)=1,1,0)</f>
        <v>0</v>
      </c>
      <c r="I574">
        <f>IF(COUNTIFS(B$2:B574,B574,F$2:F574,F574)=1,1,0)</f>
        <v>0</v>
      </c>
    </row>
    <row r="575" spans="1:9" x14ac:dyDescent="0.3">
      <c r="A575">
        <v>585</v>
      </c>
      <c r="B575">
        <v>63</v>
      </c>
      <c r="C575" s="2">
        <v>44781.80023148148</v>
      </c>
      <c r="D575" s="2">
        <v>44781.809525462966</v>
      </c>
      <c r="E575" s="3">
        <f t="shared" si="24"/>
        <v>44781</v>
      </c>
      <c r="F575">
        <f t="shared" si="25"/>
        <v>8</v>
      </c>
      <c r="G575" s="4">
        <f t="shared" si="26"/>
        <v>13.383333339588717</v>
      </c>
      <c r="H575">
        <f>IF(COUNTIFS(B$2:B575,B575,E$2:E575,E575)=1,1,0)</f>
        <v>0</v>
      </c>
      <c r="I575">
        <f>IF(COUNTIFS(B$2:B575,B575,F$2:F575,F575)=1,1,0)</f>
        <v>0</v>
      </c>
    </row>
    <row r="576" spans="1:9" x14ac:dyDescent="0.3">
      <c r="A576">
        <v>586</v>
      </c>
      <c r="B576">
        <v>64</v>
      </c>
      <c r="C576" s="2">
        <v>44688.906458333331</v>
      </c>
      <c r="D576" s="2">
        <v>44688.914953703701</v>
      </c>
      <c r="E576" s="3">
        <f t="shared" si="24"/>
        <v>44688</v>
      </c>
      <c r="F576">
        <f t="shared" si="25"/>
        <v>5</v>
      </c>
      <c r="G576" s="4">
        <f t="shared" si="26"/>
        <v>12.23333333269693</v>
      </c>
      <c r="H576">
        <f>IF(COUNTIFS(B$2:B576,B576,E$2:E576,E576)=1,1,0)</f>
        <v>1</v>
      </c>
      <c r="I576">
        <f>IF(COUNTIFS(B$2:B576,B576,F$2:F576,F576)=1,1,0)</f>
        <v>1</v>
      </c>
    </row>
    <row r="577" spans="1:9" x14ac:dyDescent="0.3">
      <c r="A577">
        <v>587</v>
      </c>
      <c r="B577">
        <v>65</v>
      </c>
      <c r="C577" s="2">
        <v>44919.944097222222</v>
      </c>
      <c r="D577" s="2">
        <v>44919.950358796297</v>
      </c>
      <c r="E577" s="3">
        <f t="shared" si="24"/>
        <v>44919</v>
      </c>
      <c r="F577">
        <f t="shared" si="25"/>
        <v>12</v>
      </c>
      <c r="G577" s="4">
        <f t="shared" si="26"/>
        <v>9.0166666684672236</v>
      </c>
      <c r="H577">
        <f>IF(COUNTIFS(B$2:B577,B577,E$2:E577,E577)=1,1,0)</f>
        <v>1</v>
      </c>
      <c r="I577">
        <f>IF(COUNTIFS(B$2:B577,B577,F$2:F577,F577)=1,1,0)</f>
        <v>1</v>
      </c>
    </row>
    <row r="578" spans="1:9" x14ac:dyDescent="0.3">
      <c r="A578">
        <v>588</v>
      </c>
      <c r="B578">
        <v>65</v>
      </c>
      <c r="C578" s="2">
        <v>44920.025960648149</v>
      </c>
      <c r="D578" s="2">
        <v>44920.03125</v>
      </c>
      <c r="E578" s="3">
        <f t="shared" ref="E578:E641" si="27">INT(C578)</f>
        <v>44920</v>
      </c>
      <c r="F578">
        <f t="shared" ref="F578:F641" si="28">MONTH(C578)</f>
        <v>12</v>
      </c>
      <c r="G578" s="4">
        <f t="shared" ref="G578:G641" si="29">(D578-C578)*1440</f>
        <v>7.6166666659992188</v>
      </c>
      <c r="H578">
        <f>IF(COUNTIFS(B$2:B578,B578,E$2:E578,E578)=1,1,0)</f>
        <v>1</v>
      </c>
      <c r="I578">
        <f>IF(COUNTIFS(B$2:B578,B578,F$2:F578,F578)=1,1,0)</f>
        <v>0</v>
      </c>
    </row>
    <row r="579" spans="1:9" x14ac:dyDescent="0.3">
      <c r="A579">
        <v>589</v>
      </c>
      <c r="B579">
        <v>65</v>
      </c>
      <c r="C579" s="2">
        <v>44920.335451388892</v>
      </c>
      <c r="D579" s="2">
        <v>44920.339259259257</v>
      </c>
      <c r="E579" s="3">
        <f t="shared" si="27"/>
        <v>44920</v>
      </c>
      <c r="F579">
        <f t="shared" si="28"/>
        <v>12</v>
      </c>
      <c r="G579" s="4">
        <f t="shared" si="29"/>
        <v>5.4833333264105022</v>
      </c>
      <c r="H579">
        <f>IF(COUNTIFS(B$2:B579,B579,E$2:E579,E579)=1,1,0)</f>
        <v>0</v>
      </c>
      <c r="I579">
        <f>IF(COUNTIFS(B$2:B579,B579,F$2:F579,F579)=1,1,0)</f>
        <v>0</v>
      </c>
    </row>
    <row r="580" spans="1:9" x14ac:dyDescent="0.3">
      <c r="A580">
        <v>590</v>
      </c>
      <c r="B580">
        <v>65</v>
      </c>
      <c r="C580" s="2">
        <v>44920.448425925926</v>
      </c>
      <c r="D580" s="2">
        <v>44920.451284722221</v>
      </c>
      <c r="E580" s="3">
        <f t="shared" si="27"/>
        <v>44920</v>
      </c>
      <c r="F580">
        <f t="shared" si="28"/>
        <v>12</v>
      </c>
      <c r="G580" s="4">
        <f t="shared" si="29"/>
        <v>4.1166666650678962</v>
      </c>
      <c r="H580">
        <f>IF(COUNTIFS(B$2:B580,B580,E$2:E580,E580)=1,1,0)</f>
        <v>0</v>
      </c>
      <c r="I580">
        <f>IF(COUNTIFS(B$2:B580,B580,F$2:F580,F580)=1,1,0)</f>
        <v>0</v>
      </c>
    </row>
    <row r="581" spans="1:9" x14ac:dyDescent="0.3">
      <c r="A581">
        <v>591</v>
      </c>
      <c r="B581">
        <v>65</v>
      </c>
      <c r="C581" s="2">
        <v>44920.603518518517</v>
      </c>
      <c r="D581" s="2">
        <v>44920.612071759257</v>
      </c>
      <c r="E581" s="3">
        <f t="shared" si="27"/>
        <v>44920</v>
      </c>
      <c r="F581">
        <f t="shared" si="28"/>
        <v>12</v>
      </c>
      <c r="G581" s="4">
        <f t="shared" si="29"/>
        <v>12.316666664555669</v>
      </c>
      <c r="H581">
        <f>IF(COUNTIFS(B$2:B581,B581,E$2:E581,E581)=1,1,0)</f>
        <v>0</v>
      </c>
      <c r="I581">
        <f>IF(COUNTIFS(B$2:B581,B581,F$2:F581,F581)=1,1,0)</f>
        <v>0</v>
      </c>
    </row>
    <row r="582" spans="1:9" x14ac:dyDescent="0.3">
      <c r="A582">
        <v>592</v>
      </c>
      <c r="B582">
        <v>65</v>
      </c>
      <c r="C582" s="2">
        <v>44920.752662037034</v>
      </c>
      <c r="D582" s="2">
        <v>44920.758472222224</v>
      </c>
      <c r="E582" s="3">
        <f t="shared" si="27"/>
        <v>44920</v>
      </c>
      <c r="F582">
        <f t="shared" si="28"/>
        <v>12</v>
      </c>
      <c r="G582" s="4">
        <f t="shared" si="29"/>
        <v>8.3666666736826301</v>
      </c>
      <c r="H582">
        <f>IF(COUNTIFS(B$2:B582,B582,E$2:E582,E582)=1,1,0)</f>
        <v>0</v>
      </c>
      <c r="I582">
        <f>IF(COUNTIFS(B$2:B582,B582,F$2:F582,F582)=1,1,0)</f>
        <v>0</v>
      </c>
    </row>
    <row r="583" spans="1:9" x14ac:dyDescent="0.3">
      <c r="A583">
        <v>593</v>
      </c>
      <c r="B583">
        <v>65</v>
      </c>
      <c r="C583" s="2">
        <v>44921.087222222224</v>
      </c>
      <c r="D583" s="2">
        <v>44921.093333333331</v>
      </c>
      <c r="E583" s="3">
        <f t="shared" si="27"/>
        <v>44921</v>
      </c>
      <c r="F583">
        <f t="shared" si="28"/>
        <v>12</v>
      </c>
      <c r="G583" s="4">
        <f t="shared" si="29"/>
        <v>8.7999999930616468</v>
      </c>
      <c r="H583">
        <f>IF(COUNTIFS(B$2:B583,B583,E$2:E583,E583)=1,1,0)</f>
        <v>1</v>
      </c>
      <c r="I583">
        <f>IF(COUNTIFS(B$2:B583,B583,F$2:F583,F583)=1,1,0)</f>
        <v>0</v>
      </c>
    </row>
    <row r="584" spans="1:9" x14ac:dyDescent="0.3">
      <c r="A584">
        <v>594</v>
      </c>
      <c r="B584">
        <v>65</v>
      </c>
      <c r="C584" s="2">
        <v>44921.369571759256</v>
      </c>
      <c r="D584" s="2">
        <v>44921.372534722221</v>
      </c>
      <c r="E584" s="3">
        <f t="shared" si="27"/>
        <v>44921</v>
      </c>
      <c r="F584">
        <f t="shared" si="28"/>
        <v>12</v>
      </c>
      <c r="G584" s="4">
        <f t="shared" si="29"/>
        <v>4.2666666687000543</v>
      </c>
      <c r="H584">
        <f>IF(COUNTIFS(B$2:B584,B584,E$2:E584,E584)=1,1,0)</f>
        <v>0</v>
      </c>
      <c r="I584">
        <f>IF(COUNTIFS(B$2:B584,B584,F$2:F584,F584)=1,1,0)</f>
        <v>0</v>
      </c>
    </row>
    <row r="585" spans="1:9" x14ac:dyDescent="0.3">
      <c r="A585">
        <v>595</v>
      </c>
      <c r="B585">
        <v>65</v>
      </c>
      <c r="C585" s="2">
        <v>44921.700729166667</v>
      </c>
      <c r="D585" s="2">
        <v>44921.707430555558</v>
      </c>
      <c r="E585" s="3">
        <f t="shared" si="27"/>
        <v>44921</v>
      </c>
      <c r="F585">
        <f t="shared" si="28"/>
        <v>12</v>
      </c>
      <c r="G585" s="4">
        <f t="shared" si="29"/>
        <v>9.6500000031664968</v>
      </c>
      <c r="H585">
        <f>IF(COUNTIFS(B$2:B585,B585,E$2:E585,E585)=1,1,0)</f>
        <v>0</v>
      </c>
      <c r="I585">
        <f>IF(COUNTIFS(B$2:B585,B585,F$2:F585,F585)=1,1,0)</f>
        <v>0</v>
      </c>
    </row>
    <row r="586" spans="1:9" x14ac:dyDescent="0.3">
      <c r="A586">
        <v>596</v>
      </c>
      <c r="B586">
        <v>65</v>
      </c>
      <c r="C586" s="2">
        <v>44921.827280092592</v>
      </c>
      <c r="D586" s="2">
        <v>44921.835752314815</v>
      </c>
      <c r="E586" s="3">
        <f t="shared" si="27"/>
        <v>44921</v>
      </c>
      <c r="F586">
        <f t="shared" si="28"/>
        <v>12</v>
      </c>
      <c r="G586" s="4">
        <f t="shared" si="29"/>
        <v>12.20000000204891</v>
      </c>
      <c r="H586">
        <f>IF(COUNTIFS(B$2:B586,B586,E$2:E586,E586)=1,1,0)</f>
        <v>0</v>
      </c>
      <c r="I586">
        <f>IF(COUNTIFS(B$2:B586,B586,F$2:F586,F586)=1,1,0)</f>
        <v>0</v>
      </c>
    </row>
    <row r="587" spans="1:9" x14ac:dyDescent="0.3">
      <c r="A587">
        <v>597</v>
      </c>
      <c r="B587">
        <v>66</v>
      </c>
      <c r="C587" s="2">
        <v>44718.475787037038</v>
      </c>
      <c r="D587" s="2">
        <v>44718.482789351852</v>
      </c>
      <c r="E587" s="3">
        <f t="shared" si="27"/>
        <v>44718</v>
      </c>
      <c r="F587">
        <f t="shared" si="28"/>
        <v>6</v>
      </c>
      <c r="G587" s="4">
        <f t="shared" si="29"/>
        <v>10.083333333022892</v>
      </c>
      <c r="H587">
        <f>IF(COUNTIFS(B$2:B587,B587,E$2:E587,E587)=1,1,0)</f>
        <v>1</v>
      </c>
      <c r="I587">
        <f>IF(COUNTIFS(B$2:B587,B587,F$2:F587,F587)=1,1,0)</f>
        <v>1</v>
      </c>
    </row>
    <row r="588" spans="1:9" x14ac:dyDescent="0.3">
      <c r="A588">
        <v>598</v>
      </c>
      <c r="B588">
        <v>66</v>
      </c>
      <c r="C588" s="2">
        <v>44718.744409722225</v>
      </c>
      <c r="D588" s="2">
        <v>44718.75209490741</v>
      </c>
      <c r="E588" s="3">
        <f t="shared" si="27"/>
        <v>44718</v>
      </c>
      <c r="F588">
        <f t="shared" si="28"/>
        <v>6</v>
      </c>
      <c r="G588" s="4">
        <f t="shared" si="29"/>
        <v>11.066666665719822</v>
      </c>
      <c r="H588">
        <f>IF(COUNTIFS(B$2:B588,B588,E$2:E588,E588)=1,1,0)</f>
        <v>0</v>
      </c>
      <c r="I588">
        <f>IF(COUNTIFS(B$2:B588,B588,F$2:F588,F588)=1,1,0)</f>
        <v>0</v>
      </c>
    </row>
    <row r="589" spans="1:9" x14ac:dyDescent="0.3">
      <c r="A589">
        <v>599</v>
      </c>
      <c r="B589">
        <v>66</v>
      </c>
      <c r="C589" s="2">
        <v>44718.91064814815</v>
      </c>
      <c r="D589" s="2">
        <v>44718.915879629632</v>
      </c>
      <c r="E589" s="3">
        <f t="shared" si="27"/>
        <v>44718</v>
      </c>
      <c r="F589">
        <f t="shared" si="28"/>
        <v>6</v>
      </c>
      <c r="G589" s="4">
        <f t="shared" si="29"/>
        <v>7.5333333341404796</v>
      </c>
      <c r="H589">
        <f>IF(COUNTIFS(B$2:B589,B589,E$2:E589,E589)=1,1,0)</f>
        <v>0</v>
      </c>
      <c r="I589">
        <f>IF(COUNTIFS(B$2:B589,B589,F$2:F589,F589)=1,1,0)</f>
        <v>0</v>
      </c>
    </row>
    <row r="590" spans="1:9" x14ac:dyDescent="0.3">
      <c r="A590">
        <v>600</v>
      </c>
      <c r="B590">
        <v>66</v>
      </c>
      <c r="C590" s="2">
        <v>44719.156377314815</v>
      </c>
      <c r="D590" s="2">
        <v>44719.162187499998</v>
      </c>
      <c r="E590" s="3">
        <f t="shared" si="27"/>
        <v>44719</v>
      </c>
      <c r="F590">
        <f t="shared" si="28"/>
        <v>6</v>
      </c>
      <c r="G590" s="4">
        <f t="shared" si="29"/>
        <v>8.3666666632052511</v>
      </c>
      <c r="H590">
        <f>IF(COUNTIFS(B$2:B590,B590,E$2:E590,E590)=1,1,0)</f>
        <v>1</v>
      </c>
      <c r="I590">
        <f>IF(COUNTIFS(B$2:B590,B590,F$2:F590,F590)=1,1,0)</f>
        <v>0</v>
      </c>
    </row>
    <row r="591" spans="1:9" x14ac:dyDescent="0.3">
      <c r="A591">
        <v>601</v>
      </c>
      <c r="B591">
        <v>66</v>
      </c>
      <c r="C591" s="2">
        <v>44719.266064814816</v>
      </c>
      <c r="D591" s="2">
        <v>44719.272268518522</v>
      </c>
      <c r="E591" s="3">
        <f t="shared" si="27"/>
        <v>44719</v>
      </c>
      <c r="F591">
        <f t="shared" si="28"/>
        <v>6</v>
      </c>
      <c r="G591" s="4">
        <f t="shared" si="29"/>
        <v>8.9333333366084844</v>
      </c>
      <c r="H591">
        <f>IF(COUNTIFS(B$2:B591,B591,E$2:E591,E591)=1,1,0)</f>
        <v>0</v>
      </c>
      <c r="I591">
        <f>IF(COUNTIFS(B$2:B591,B591,F$2:F591,F591)=1,1,0)</f>
        <v>0</v>
      </c>
    </row>
    <row r="592" spans="1:9" x14ac:dyDescent="0.3">
      <c r="A592">
        <v>602</v>
      </c>
      <c r="B592">
        <v>66</v>
      </c>
      <c r="C592" s="2">
        <v>44719.388680555552</v>
      </c>
      <c r="D592" s="2">
        <v>44719.392754629633</v>
      </c>
      <c r="E592" s="3">
        <f t="shared" si="27"/>
        <v>44719</v>
      </c>
      <c r="F592">
        <f t="shared" si="28"/>
        <v>6</v>
      </c>
      <c r="G592" s="4">
        <f t="shared" si="29"/>
        <v>5.8666666760109365</v>
      </c>
      <c r="H592">
        <f>IF(COUNTIFS(B$2:B592,B592,E$2:E592,E592)=1,1,0)</f>
        <v>0</v>
      </c>
      <c r="I592">
        <f>IF(COUNTIFS(B$2:B592,B592,F$2:F592,F592)=1,1,0)</f>
        <v>0</v>
      </c>
    </row>
    <row r="593" spans="1:9" x14ac:dyDescent="0.3">
      <c r="A593">
        <v>603</v>
      </c>
      <c r="B593">
        <v>66</v>
      </c>
      <c r="C593" s="2">
        <v>44719.57540509259</v>
      </c>
      <c r="D593" s="2">
        <v>44719.581597222219</v>
      </c>
      <c r="E593" s="3">
        <f t="shared" si="27"/>
        <v>44719</v>
      </c>
      <c r="F593">
        <f t="shared" si="28"/>
        <v>6</v>
      </c>
      <c r="G593" s="4">
        <f t="shared" si="29"/>
        <v>8.916666666045785</v>
      </c>
      <c r="H593">
        <f>IF(COUNTIFS(B$2:B593,B593,E$2:E593,E593)=1,1,0)</f>
        <v>0</v>
      </c>
      <c r="I593">
        <f>IF(COUNTIFS(B$2:B593,B593,F$2:F593,F593)=1,1,0)</f>
        <v>0</v>
      </c>
    </row>
    <row r="594" spans="1:9" x14ac:dyDescent="0.3">
      <c r="A594">
        <v>604</v>
      </c>
      <c r="B594">
        <v>66</v>
      </c>
      <c r="C594" s="2">
        <v>44719.700740740744</v>
      </c>
      <c r="D594" s="2">
        <v>44719.70684027778</v>
      </c>
      <c r="E594" s="3">
        <f t="shared" si="27"/>
        <v>44719</v>
      </c>
      <c r="F594">
        <f t="shared" si="28"/>
        <v>6</v>
      </c>
      <c r="G594" s="4">
        <f t="shared" si="29"/>
        <v>8.7833333329763263</v>
      </c>
      <c r="H594">
        <f>IF(COUNTIFS(B$2:B594,B594,E$2:E594,E594)=1,1,0)</f>
        <v>0</v>
      </c>
      <c r="I594">
        <f>IF(COUNTIFS(B$2:B594,B594,F$2:F594,F594)=1,1,0)</f>
        <v>0</v>
      </c>
    </row>
    <row r="595" spans="1:9" x14ac:dyDescent="0.3">
      <c r="A595">
        <v>605</v>
      </c>
      <c r="B595">
        <v>66</v>
      </c>
      <c r="C595" s="2">
        <v>44719.922233796293</v>
      </c>
      <c r="D595" s="2">
        <v>44719.927488425928</v>
      </c>
      <c r="E595" s="3">
        <f t="shared" si="27"/>
        <v>44719</v>
      </c>
      <c r="F595">
        <f t="shared" si="28"/>
        <v>6</v>
      </c>
      <c r="G595" s="4">
        <f t="shared" si="29"/>
        <v>7.5666666752658784</v>
      </c>
      <c r="H595">
        <f>IF(COUNTIFS(B$2:B595,B595,E$2:E595,E595)=1,1,0)</f>
        <v>0</v>
      </c>
      <c r="I595">
        <f>IF(COUNTIFS(B$2:B595,B595,F$2:F595,F595)=1,1,0)</f>
        <v>0</v>
      </c>
    </row>
    <row r="596" spans="1:9" x14ac:dyDescent="0.3">
      <c r="A596">
        <v>606</v>
      </c>
      <c r="B596">
        <v>66</v>
      </c>
      <c r="C596" s="2">
        <v>44720.06994212963</v>
      </c>
      <c r="D596" s="2">
        <v>44720.073703703703</v>
      </c>
      <c r="E596" s="3">
        <f t="shared" si="27"/>
        <v>44720</v>
      </c>
      <c r="F596">
        <f t="shared" si="28"/>
        <v>6</v>
      </c>
      <c r="G596" s="4">
        <f t="shared" si="29"/>
        <v>5.4166666651144624</v>
      </c>
      <c r="H596">
        <f>IF(COUNTIFS(B$2:B596,B596,E$2:E596,E596)=1,1,0)</f>
        <v>1</v>
      </c>
      <c r="I596">
        <f>IF(COUNTIFS(B$2:B596,B596,F$2:F596,F596)=1,1,0)</f>
        <v>0</v>
      </c>
    </row>
    <row r="597" spans="1:9" x14ac:dyDescent="0.3">
      <c r="A597">
        <v>607</v>
      </c>
      <c r="B597">
        <v>66</v>
      </c>
      <c r="C597" s="2">
        <v>44720.177673611113</v>
      </c>
      <c r="D597" s="2">
        <v>44720.186527777776</v>
      </c>
      <c r="E597" s="3">
        <f t="shared" si="27"/>
        <v>44720</v>
      </c>
      <c r="F597">
        <f t="shared" si="28"/>
        <v>6</v>
      </c>
      <c r="G597" s="4">
        <f t="shared" si="29"/>
        <v>12.749999994412065</v>
      </c>
      <c r="H597">
        <f>IF(COUNTIFS(B$2:B597,B597,E$2:E597,E597)=1,1,0)</f>
        <v>0</v>
      </c>
      <c r="I597">
        <f>IF(COUNTIFS(B$2:B597,B597,F$2:F597,F597)=1,1,0)</f>
        <v>0</v>
      </c>
    </row>
    <row r="598" spans="1:9" x14ac:dyDescent="0.3">
      <c r="A598">
        <v>608</v>
      </c>
      <c r="B598">
        <v>67</v>
      </c>
      <c r="C598" s="2">
        <v>44738.994513888887</v>
      </c>
      <c r="D598" s="2">
        <v>44739.000625000001</v>
      </c>
      <c r="E598" s="3">
        <f t="shared" si="27"/>
        <v>44738</v>
      </c>
      <c r="F598">
        <f t="shared" si="28"/>
        <v>6</v>
      </c>
      <c r="G598" s="4">
        <f t="shared" si="29"/>
        <v>8.8000000035390258</v>
      </c>
      <c r="H598">
        <f>IF(COUNTIFS(B$2:B598,B598,E$2:E598,E598)=1,1,0)</f>
        <v>1</v>
      </c>
      <c r="I598">
        <f>IF(COUNTIFS(B$2:B598,B598,F$2:F598,F598)=1,1,0)</f>
        <v>1</v>
      </c>
    </row>
    <row r="599" spans="1:9" x14ac:dyDescent="0.3">
      <c r="A599">
        <v>609</v>
      </c>
      <c r="B599">
        <v>67</v>
      </c>
      <c r="C599" s="2">
        <v>44739.187592592592</v>
      </c>
      <c r="D599" s="2">
        <v>44739.193622685183</v>
      </c>
      <c r="E599" s="3">
        <f t="shared" si="27"/>
        <v>44739</v>
      </c>
      <c r="F599">
        <f t="shared" si="28"/>
        <v>6</v>
      </c>
      <c r="G599" s="4">
        <f t="shared" si="29"/>
        <v>8.6833333305548877</v>
      </c>
      <c r="H599">
        <f>IF(COUNTIFS(B$2:B599,B599,E$2:E599,E599)=1,1,0)</f>
        <v>1</v>
      </c>
      <c r="I599">
        <f>IF(COUNTIFS(B$2:B599,B599,F$2:F599,F599)=1,1,0)</f>
        <v>0</v>
      </c>
    </row>
    <row r="600" spans="1:9" x14ac:dyDescent="0.3">
      <c r="A600">
        <v>610</v>
      </c>
      <c r="B600">
        <v>67</v>
      </c>
      <c r="C600" s="2">
        <v>44739.439155092594</v>
      </c>
      <c r="D600" s="2">
        <v>44739.450439814813</v>
      </c>
      <c r="E600" s="3">
        <f t="shared" si="27"/>
        <v>44739</v>
      </c>
      <c r="F600">
        <f t="shared" si="28"/>
        <v>6</v>
      </c>
      <c r="G600" s="4">
        <f t="shared" si="29"/>
        <v>16.249999995343387</v>
      </c>
      <c r="H600">
        <f>IF(COUNTIFS(B$2:B600,B600,E$2:E600,E600)=1,1,0)</f>
        <v>0</v>
      </c>
      <c r="I600">
        <f>IF(COUNTIFS(B$2:B600,B600,F$2:F600,F600)=1,1,0)</f>
        <v>0</v>
      </c>
    </row>
    <row r="601" spans="1:9" x14ac:dyDescent="0.3">
      <c r="A601">
        <v>611</v>
      </c>
      <c r="B601">
        <v>67</v>
      </c>
      <c r="C601" s="2">
        <v>44739.741527777776</v>
      </c>
      <c r="D601" s="2">
        <v>44739.746932870374</v>
      </c>
      <c r="E601" s="3">
        <f t="shared" si="27"/>
        <v>44739</v>
      </c>
      <c r="F601">
        <f t="shared" si="28"/>
        <v>6</v>
      </c>
      <c r="G601" s="4">
        <f t="shared" si="29"/>
        <v>7.7833333401940763</v>
      </c>
      <c r="H601">
        <f>IF(COUNTIFS(B$2:B601,B601,E$2:E601,E601)=1,1,0)</f>
        <v>0</v>
      </c>
      <c r="I601">
        <f>IF(COUNTIFS(B$2:B601,B601,F$2:F601,F601)=1,1,0)</f>
        <v>0</v>
      </c>
    </row>
    <row r="602" spans="1:9" x14ac:dyDescent="0.3">
      <c r="A602">
        <v>612</v>
      </c>
      <c r="B602">
        <v>67</v>
      </c>
      <c r="C602" s="2">
        <v>44739.942199074074</v>
      </c>
      <c r="D602" s="2">
        <v>44739.948240740741</v>
      </c>
      <c r="E602" s="3">
        <f t="shared" si="27"/>
        <v>44739</v>
      </c>
      <c r="F602">
        <f t="shared" si="28"/>
        <v>6</v>
      </c>
      <c r="G602" s="4">
        <f t="shared" si="29"/>
        <v>8.7000000011175871</v>
      </c>
      <c r="H602">
        <f>IF(COUNTIFS(B$2:B602,B602,E$2:E602,E602)=1,1,0)</f>
        <v>0</v>
      </c>
      <c r="I602">
        <f>IF(COUNTIFS(B$2:B602,B602,F$2:F602,F602)=1,1,0)</f>
        <v>0</v>
      </c>
    </row>
    <row r="603" spans="1:9" x14ac:dyDescent="0.3">
      <c r="A603">
        <v>613</v>
      </c>
      <c r="B603">
        <v>67</v>
      </c>
      <c r="C603" s="2">
        <v>44740.015567129631</v>
      </c>
      <c r="D603" s="2">
        <v>44740.02416666667</v>
      </c>
      <c r="E603" s="3">
        <f t="shared" si="27"/>
        <v>44740</v>
      </c>
      <c r="F603">
        <f t="shared" si="28"/>
        <v>6</v>
      </c>
      <c r="G603" s="4">
        <f t="shared" si="29"/>
        <v>12.383333336329088</v>
      </c>
      <c r="H603">
        <f>IF(COUNTIFS(B$2:B603,B603,E$2:E603,E603)=1,1,0)</f>
        <v>1</v>
      </c>
      <c r="I603">
        <f>IF(COUNTIFS(B$2:B603,B603,F$2:F603,F603)=1,1,0)</f>
        <v>0</v>
      </c>
    </row>
    <row r="604" spans="1:9" x14ac:dyDescent="0.3">
      <c r="A604">
        <v>614</v>
      </c>
      <c r="B604">
        <v>67</v>
      </c>
      <c r="C604" s="2">
        <v>44740.090474537035</v>
      </c>
      <c r="D604" s="2">
        <v>44740.095891203702</v>
      </c>
      <c r="E604" s="3">
        <f t="shared" si="27"/>
        <v>44740</v>
      </c>
      <c r="F604">
        <f t="shared" si="28"/>
        <v>6</v>
      </c>
      <c r="G604" s="4">
        <f t="shared" si="29"/>
        <v>7.8000000002793968</v>
      </c>
      <c r="H604">
        <f>IF(COUNTIFS(B$2:B604,B604,E$2:E604,E604)=1,1,0)</f>
        <v>0</v>
      </c>
      <c r="I604">
        <f>IF(COUNTIFS(B$2:B604,B604,F$2:F604,F604)=1,1,0)</f>
        <v>0</v>
      </c>
    </row>
    <row r="605" spans="1:9" x14ac:dyDescent="0.3">
      <c r="A605">
        <v>615</v>
      </c>
      <c r="B605">
        <v>67</v>
      </c>
      <c r="C605" s="2">
        <v>44740.318877314814</v>
      </c>
      <c r="D605" s="2">
        <v>44740.325381944444</v>
      </c>
      <c r="E605" s="3">
        <f t="shared" si="27"/>
        <v>44740</v>
      </c>
      <c r="F605">
        <f t="shared" si="28"/>
        <v>6</v>
      </c>
      <c r="G605" s="4">
        <f t="shared" si="29"/>
        <v>9.3666666664648801</v>
      </c>
      <c r="H605">
        <f>IF(COUNTIFS(B$2:B605,B605,E$2:E605,E605)=1,1,0)</f>
        <v>0</v>
      </c>
      <c r="I605">
        <f>IF(COUNTIFS(B$2:B605,B605,F$2:F605,F605)=1,1,0)</f>
        <v>0</v>
      </c>
    </row>
    <row r="606" spans="1:9" x14ac:dyDescent="0.3">
      <c r="A606">
        <v>616</v>
      </c>
      <c r="B606">
        <v>67</v>
      </c>
      <c r="C606" s="2">
        <v>44740.421909722223</v>
      </c>
      <c r="D606" s="2">
        <v>44740.429884259262</v>
      </c>
      <c r="E606" s="3">
        <f t="shared" si="27"/>
        <v>44740</v>
      </c>
      <c r="F606">
        <f t="shared" si="28"/>
        <v>6</v>
      </c>
      <c r="G606" s="4">
        <f t="shared" si="29"/>
        <v>11.483333335490897</v>
      </c>
      <c r="H606">
        <f>IF(COUNTIFS(B$2:B606,B606,E$2:E606,E606)=1,1,0)</f>
        <v>0</v>
      </c>
      <c r="I606">
        <f>IF(COUNTIFS(B$2:B606,B606,F$2:F606,F606)=1,1,0)</f>
        <v>0</v>
      </c>
    </row>
    <row r="607" spans="1:9" x14ac:dyDescent="0.3">
      <c r="A607">
        <v>617</v>
      </c>
      <c r="B607">
        <v>67</v>
      </c>
      <c r="C607" s="2">
        <v>44740.576631944445</v>
      </c>
      <c r="D607" s="2">
        <v>44740.580520833333</v>
      </c>
      <c r="E607" s="3">
        <f t="shared" si="27"/>
        <v>44740</v>
      </c>
      <c r="F607">
        <f t="shared" si="28"/>
        <v>6</v>
      </c>
      <c r="G607" s="4">
        <f t="shared" si="29"/>
        <v>5.5999999993946403</v>
      </c>
      <c r="H607">
        <f>IF(COUNTIFS(B$2:B607,B607,E$2:E607,E607)=1,1,0)</f>
        <v>0</v>
      </c>
      <c r="I607">
        <f>IF(COUNTIFS(B$2:B607,B607,F$2:F607,F607)=1,1,0)</f>
        <v>0</v>
      </c>
    </row>
    <row r="608" spans="1:9" x14ac:dyDescent="0.3">
      <c r="A608">
        <v>618</v>
      </c>
      <c r="B608">
        <v>67</v>
      </c>
      <c r="C608" s="2">
        <v>44740.700011574074</v>
      </c>
      <c r="D608" s="2">
        <v>44740.707303240742</v>
      </c>
      <c r="E608" s="3">
        <f t="shared" si="27"/>
        <v>44740</v>
      </c>
      <c r="F608">
        <f t="shared" si="28"/>
        <v>6</v>
      </c>
      <c r="G608" s="4">
        <f t="shared" si="29"/>
        <v>10.500000002793968</v>
      </c>
      <c r="H608">
        <f>IF(COUNTIFS(B$2:B608,B608,E$2:E608,E608)=1,1,0)</f>
        <v>0</v>
      </c>
      <c r="I608">
        <f>IF(COUNTIFS(B$2:B608,B608,F$2:F608,F608)=1,1,0)</f>
        <v>0</v>
      </c>
    </row>
    <row r="609" spans="1:9" x14ac:dyDescent="0.3">
      <c r="A609">
        <v>619</v>
      </c>
      <c r="B609">
        <v>67</v>
      </c>
      <c r="C609" s="2">
        <v>44740.993657407409</v>
      </c>
      <c r="D609" s="2">
        <v>44740.998773148145</v>
      </c>
      <c r="E609" s="3">
        <f t="shared" si="27"/>
        <v>44740</v>
      </c>
      <c r="F609">
        <f t="shared" si="28"/>
        <v>6</v>
      </c>
      <c r="G609" s="4">
        <f t="shared" si="29"/>
        <v>7.3666666599456221</v>
      </c>
      <c r="H609">
        <f>IF(COUNTIFS(B$2:B609,B609,E$2:E609,E609)=1,1,0)</f>
        <v>0</v>
      </c>
      <c r="I609">
        <f>IF(COUNTIFS(B$2:B609,B609,F$2:F609,F609)=1,1,0)</f>
        <v>0</v>
      </c>
    </row>
    <row r="610" spans="1:9" x14ac:dyDescent="0.3">
      <c r="A610">
        <v>620</v>
      </c>
      <c r="B610">
        <v>67</v>
      </c>
      <c r="C610" s="2">
        <v>44741.093807870369</v>
      </c>
      <c r="D610" s="2">
        <v>44741.104224537034</v>
      </c>
      <c r="E610" s="3">
        <f t="shared" si="27"/>
        <v>44741</v>
      </c>
      <c r="F610">
        <f t="shared" si="28"/>
        <v>6</v>
      </c>
      <c r="G610" s="4">
        <f t="shared" si="29"/>
        <v>14.99999999650754</v>
      </c>
      <c r="H610">
        <f>IF(COUNTIFS(B$2:B610,B610,E$2:E610,E610)=1,1,0)</f>
        <v>1</v>
      </c>
      <c r="I610">
        <f>IF(COUNTIFS(B$2:B610,B610,F$2:F610,F610)=1,1,0)</f>
        <v>0</v>
      </c>
    </row>
    <row r="611" spans="1:9" x14ac:dyDescent="0.3">
      <c r="A611">
        <v>621</v>
      </c>
      <c r="B611">
        <v>67</v>
      </c>
      <c r="C611" s="2">
        <v>44741.275821759256</v>
      </c>
      <c r="D611" s="2">
        <v>44741.283356481479</v>
      </c>
      <c r="E611" s="3">
        <f t="shared" si="27"/>
        <v>44741</v>
      </c>
      <c r="F611">
        <f t="shared" si="28"/>
        <v>6</v>
      </c>
      <c r="G611" s="4">
        <f t="shared" si="29"/>
        <v>10.850000000791624</v>
      </c>
      <c r="H611">
        <f>IF(COUNTIFS(B$2:B611,B611,E$2:E611,E611)=1,1,0)</f>
        <v>0</v>
      </c>
      <c r="I611">
        <f>IF(COUNTIFS(B$2:B611,B611,F$2:F611,F611)=1,1,0)</f>
        <v>0</v>
      </c>
    </row>
    <row r="612" spans="1:9" x14ac:dyDescent="0.3">
      <c r="A612">
        <v>622</v>
      </c>
      <c r="B612">
        <v>67</v>
      </c>
      <c r="C612" s="2">
        <v>44741.614537037036</v>
      </c>
      <c r="D612" s="2">
        <v>44741.621076388888</v>
      </c>
      <c r="E612" s="3">
        <f t="shared" si="27"/>
        <v>44741</v>
      </c>
      <c r="F612">
        <f t="shared" si="28"/>
        <v>6</v>
      </c>
      <c r="G612" s="4">
        <f t="shared" si="29"/>
        <v>9.4166666676755995</v>
      </c>
      <c r="H612">
        <f>IF(COUNTIFS(B$2:B612,B612,E$2:E612,E612)=1,1,0)</f>
        <v>0</v>
      </c>
      <c r="I612">
        <f>IF(COUNTIFS(B$2:B612,B612,F$2:F612,F612)=1,1,0)</f>
        <v>0</v>
      </c>
    </row>
    <row r="613" spans="1:9" x14ac:dyDescent="0.3">
      <c r="A613">
        <v>623</v>
      </c>
      <c r="B613">
        <v>67</v>
      </c>
      <c r="C613" s="2">
        <v>44741.916817129626</v>
      </c>
      <c r="D613" s="2">
        <v>44741.919930555552</v>
      </c>
      <c r="E613" s="3">
        <f t="shared" si="27"/>
        <v>44741</v>
      </c>
      <c r="F613">
        <f t="shared" si="28"/>
        <v>6</v>
      </c>
      <c r="G613" s="4">
        <f t="shared" si="29"/>
        <v>4.4833333336282521</v>
      </c>
      <c r="H613">
        <f>IF(COUNTIFS(B$2:B613,B613,E$2:E613,E613)=1,1,0)</f>
        <v>0</v>
      </c>
      <c r="I613">
        <f>IF(COUNTIFS(B$2:B613,B613,F$2:F613,F613)=1,1,0)</f>
        <v>0</v>
      </c>
    </row>
    <row r="614" spans="1:9" x14ac:dyDescent="0.3">
      <c r="A614">
        <v>624</v>
      </c>
      <c r="B614">
        <v>67</v>
      </c>
      <c r="C614" s="2">
        <v>44742.128796296296</v>
      </c>
      <c r="D614" s="2">
        <v>44742.133090277777</v>
      </c>
      <c r="E614" s="3">
        <f t="shared" si="27"/>
        <v>44742</v>
      </c>
      <c r="F614">
        <f t="shared" si="28"/>
        <v>6</v>
      </c>
      <c r="G614" s="4">
        <f t="shared" si="29"/>
        <v>6.1833333328831941</v>
      </c>
      <c r="H614">
        <f>IF(COUNTIFS(B$2:B614,B614,E$2:E614,E614)=1,1,0)</f>
        <v>1</v>
      </c>
      <c r="I614">
        <f>IF(COUNTIFS(B$2:B614,B614,F$2:F614,F614)=1,1,0)</f>
        <v>0</v>
      </c>
    </row>
    <row r="615" spans="1:9" x14ac:dyDescent="0.3">
      <c r="A615">
        <v>625</v>
      </c>
      <c r="B615">
        <v>67</v>
      </c>
      <c r="C615" s="2">
        <v>44742.322222222225</v>
      </c>
      <c r="D615" s="2">
        <v>44742.332233796296</v>
      </c>
      <c r="E615" s="3">
        <f t="shared" si="27"/>
        <v>44742</v>
      </c>
      <c r="F615">
        <f t="shared" si="28"/>
        <v>6</v>
      </c>
      <c r="G615" s="4">
        <f t="shared" si="29"/>
        <v>14.416666663018987</v>
      </c>
      <c r="H615">
        <f>IF(COUNTIFS(B$2:B615,B615,E$2:E615,E615)=1,1,0)</f>
        <v>0</v>
      </c>
      <c r="I615">
        <f>IF(COUNTIFS(B$2:B615,B615,F$2:F615,F615)=1,1,0)</f>
        <v>0</v>
      </c>
    </row>
    <row r="616" spans="1:9" x14ac:dyDescent="0.3">
      <c r="A616">
        <v>626</v>
      </c>
      <c r="B616">
        <v>67</v>
      </c>
      <c r="C616" s="2">
        <v>44742.421180555553</v>
      </c>
      <c r="D616" s="2">
        <v>44742.430266203701</v>
      </c>
      <c r="E616" s="3">
        <f t="shared" si="27"/>
        <v>44742</v>
      </c>
      <c r="F616">
        <f t="shared" si="28"/>
        <v>6</v>
      </c>
      <c r="G616" s="4">
        <f t="shared" si="29"/>
        <v>13.083333332324401</v>
      </c>
      <c r="H616">
        <f>IF(COUNTIFS(B$2:B616,B616,E$2:E616,E616)=1,1,0)</f>
        <v>0</v>
      </c>
      <c r="I616">
        <f>IF(COUNTIFS(B$2:B616,B616,F$2:F616,F616)=1,1,0)</f>
        <v>0</v>
      </c>
    </row>
    <row r="617" spans="1:9" x14ac:dyDescent="0.3">
      <c r="A617">
        <v>627</v>
      </c>
      <c r="B617">
        <v>67</v>
      </c>
      <c r="C617" s="2">
        <v>44742.616585648146</v>
      </c>
      <c r="D617" s="2">
        <v>44742.623043981483</v>
      </c>
      <c r="E617" s="3">
        <f t="shared" si="27"/>
        <v>44742</v>
      </c>
      <c r="F617">
        <f t="shared" si="28"/>
        <v>6</v>
      </c>
      <c r="G617" s="4">
        <f t="shared" si="29"/>
        <v>9.3000000051688403</v>
      </c>
      <c r="H617">
        <f>IF(COUNTIFS(B$2:B617,B617,E$2:E617,E617)=1,1,0)</f>
        <v>0</v>
      </c>
      <c r="I617">
        <f>IF(COUNTIFS(B$2:B617,B617,F$2:F617,F617)=1,1,0)</f>
        <v>0</v>
      </c>
    </row>
    <row r="618" spans="1:9" x14ac:dyDescent="0.3">
      <c r="A618">
        <v>628</v>
      </c>
      <c r="B618">
        <v>67</v>
      </c>
      <c r="C618" s="2">
        <v>44742.714502314811</v>
      </c>
      <c r="D618" s="2">
        <v>44742.721412037034</v>
      </c>
      <c r="E618" s="3">
        <f t="shared" si="27"/>
        <v>44742</v>
      </c>
      <c r="F618">
        <f t="shared" si="28"/>
        <v>6</v>
      </c>
      <c r="G618" s="4">
        <f t="shared" si="29"/>
        <v>9.9499999999534339</v>
      </c>
      <c r="H618">
        <f>IF(COUNTIFS(B$2:B618,B618,E$2:E618,E618)=1,1,0)</f>
        <v>0</v>
      </c>
      <c r="I618">
        <f>IF(COUNTIFS(B$2:B618,B618,F$2:F618,F618)=1,1,0)</f>
        <v>0</v>
      </c>
    </row>
    <row r="619" spans="1:9" x14ac:dyDescent="0.3">
      <c r="A619">
        <v>629</v>
      </c>
      <c r="B619">
        <v>67</v>
      </c>
      <c r="C619" s="2">
        <v>44743.028715277775</v>
      </c>
      <c r="D619" s="2">
        <v>44743.038680555554</v>
      </c>
      <c r="E619" s="3">
        <f t="shared" si="27"/>
        <v>44743</v>
      </c>
      <c r="F619">
        <f t="shared" si="28"/>
        <v>7</v>
      </c>
      <c r="G619" s="4">
        <f t="shared" si="29"/>
        <v>14.350000001722947</v>
      </c>
      <c r="H619">
        <f>IF(COUNTIFS(B$2:B619,B619,E$2:E619,E619)=1,1,0)</f>
        <v>1</v>
      </c>
      <c r="I619">
        <f>IF(COUNTIFS(B$2:B619,B619,F$2:F619,F619)=1,1,0)</f>
        <v>1</v>
      </c>
    </row>
    <row r="620" spans="1:9" x14ac:dyDescent="0.3">
      <c r="A620">
        <v>630</v>
      </c>
      <c r="B620">
        <v>67</v>
      </c>
      <c r="C620" s="2">
        <v>44743.089791666665</v>
      </c>
      <c r="D620" s="2">
        <v>44743.095451388886</v>
      </c>
      <c r="E620" s="3">
        <f t="shared" si="27"/>
        <v>44743</v>
      </c>
      <c r="F620">
        <f t="shared" si="28"/>
        <v>7</v>
      </c>
      <c r="G620" s="4">
        <f t="shared" si="29"/>
        <v>8.1499999982770532</v>
      </c>
      <c r="H620">
        <f>IF(COUNTIFS(B$2:B620,B620,E$2:E620,E620)=1,1,0)</f>
        <v>0</v>
      </c>
      <c r="I620">
        <f>IF(COUNTIFS(B$2:B620,B620,F$2:F620,F620)=1,1,0)</f>
        <v>0</v>
      </c>
    </row>
    <row r="621" spans="1:9" x14ac:dyDescent="0.3">
      <c r="A621">
        <v>631</v>
      </c>
      <c r="B621">
        <v>67</v>
      </c>
      <c r="C621" s="2">
        <v>44743.249849537038</v>
      </c>
      <c r="D621" s="2">
        <v>44743.260081018518</v>
      </c>
      <c r="E621" s="3">
        <f t="shared" si="27"/>
        <v>44743</v>
      </c>
      <c r="F621">
        <f t="shared" si="28"/>
        <v>7</v>
      </c>
      <c r="G621" s="4">
        <f t="shared" si="29"/>
        <v>14.733333330368623</v>
      </c>
      <c r="H621">
        <f>IF(COUNTIFS(B$2:B621,B621,E$2:E621,E621)=1,1,0)</f>
        <v>0</v>
      </c>
      <c r="I621">
        <f>IF(COUNTIFS(B$2:B621,B621,F$2:F621,F621)=1,1,0)</f>
        <v>0</v>
      </c>
    </row>
    <row r="622" spans="1:9" x14ac:dyDescent="0.3">
      <c r="A622">
        <v>632</v>
      </c>
      <c r="B622">
        <v>67</v>
      </c>
      <c r="C622" s="2">
        <v>44743.599814814814</v>
      </c>
      <c r="D622" s="2">
        <v>44743.603958333333</v>
      </c>
      <c r="E622" s="3">
        <f t="shared" si="27"/>
        <v>44743</v>
      </c>
      <c r="F622">
        <f t="shared" si="28"/>
        <v>7</v>
      </c>
      <c r="G622" s="4">
        <f t="shared" si="29"/>
        <v>5.9666666679549962</v>
      </c>
      <c r="H622">
        <f>IF(COUNTIFS(B$2:B622,B622,E$2:E622,E622)=1,1,0)</f>
        <v>0</v>
      </c>
      <c r="I622">
        <f>IF(COUNTIFS(B$2:B622,B622,F$2:F622,F622)=1,1,0)</f>
        <v>0</v>
      </c>
    </row>
    <row r="623" spans="1:9" x14ac:dyDescent="0.3">
      <c r="A623">
        <v>633</v>
      </c>
      <c r="B623">
        <v>67</v>
      </c>
      <c r="C623" s="2">
        <v>44743.938981481479</v>
      </c>
      <c r="D623" s="2">
        <v>44743.943344907406</v>
      </c>
      <c r="E623" s="3">
        <f t="shared" si="27"/>
        <v>44743</v>
      </c>
      <c r="F623">
        <f t="shared" si="28"/>
        <v>7</v>
      </c>
      <c r="G623" s="4">
        <f t="shared" si="29"/>
        <v>6.2833333353046328</v>
      </c>
      <c r="H623">
        <f>IF(COUNTIFS(B$2:B623,B623,E$2:E623,E623)=1,1,0)</f>
        <v>0</v>
      </c>
      <c r="I623">
        <f>IF(COUNTIFS(B$2:B623,B623,F$2:F623,F623)=1,1,0)</f>
        <v>0</v>
      </c>
    </row>
    <row r="624" spans="1:9" x14ac:dyDescent="0.3">
      <c r="A624">
        <v>634</v>
      </c>
      <c r="B624">
        <v>67</v>
      </c>
      <c r="C624" s="2">
        <v>44744.09547453704</v>
      </c>
      <c r="D624" s="2">
        <v>44744.098726851851</v>
      </c>
      <c r="E624" s="3">
        <f t="shared" si="27"/>
        <v>44744</v>
      </c>
      <c r="F624">
        <f t="shared" si="28"/>
        <v>7</v>
      </c>
      <c r="G624" s="4">
        <f t="shared" si="29"/>
        <v>4.6833333279937506</v>
      </c>
      <c r="H624">
        <f>IF(COUNTIFS(B$2:B624,B624,E$2:E624,E624)=1,1,0)</f>
        <v>1</v>
      </c>
      <c r="I624">
        <f>IF(COUNTIFS(B$2:B624,B624,F$2:F624,F624)=1,1,0)</f>
        <v>0</v>
      </c>
    </row>
    <row r="625" spans="1:9" x14ac:dyDescent="0.3">
      <c r="A625">
        <v>635</v>
      </c>
      <c r="B625">
        <v>67</v>
      </c>
      <c r="C625" s="2">
        <v>44744.306863425925</v>
      </c>
      <c r="D625" s="2">
        <v>44744.310578703706</v>
      </c>
      <c r="E625" s="3">
        <f t="shared" si="27"/>
        <v>44744</v>
      </c>
      <c r="F625">
        <f t="shared" si="28"/>
        <v>7</v>
      </c>
      <c r="G625" s="4">
        <f t="shared" si="29"/>
        <v>5.3500000038184226</v>
      </c>
      <c r="H625">
        <f>IF(COUNTIFS(B$2:B625,B625,E$2:E625,E625)=1,1,0)</f>
        <v>0</v>
      </c>
      <c r="I625">
        <f>IF(COUNTIFS(B$2:B625,B625,F$2:F625,F625)=1,1,0)</f>
        <v>0</v>
      </c>
    </row>
    <row r="626" spans="1:9" x14ac:dyDescent="0.3">
      <c r="A626">
        <v>636</v>
      </c>
      <c r="B626">
        <v>67</v>
      </c>
      <c r="C626" s="2">
        <v>44744.568923611114</v>
      </c>
      <c r="D626" s="2">
        <v>44744.572708333333</v>
      </c>
      <c r="E626" s="3">
        <f t="shared" si="27"/>
        <v>44744</v>
      </c>
      <c r="F626">
        <f t="shared" si="28"/>
        <v>7</v>
      </c>
      <c r="G626" s="4">
        <f t="shared" si="29"/>
        <v>5.4499999957624823</v>
      </c>
      <c r="H626">
        <f>IF(COUNTIFS(B$2:B626,B626,E$2:E626,E626)=1,1,0)</f>
        <v>0</v>
      </c>
      <c r="I626">
        <f>IF(COUNTIFS(B$2:B626,B626,F$2:F626,F626)=1,1,0)</f>
        <v>0</v>
      </c>
    </row>
    <row r="627" spans="1:9" x14ac:dyDescent="0.3">
      <c r="A627">
        <v>637</v>
      </c>
      <c r="B627">
        <v>67</v>
      </c>
      <c r="C627" s="2">
        <v>44744.6721412037</v>
      </c>
      <c r="D627" s="2">
        <v>44744.675474537034</v>
      </c>
      <c r="E627" s="3">
        <f t="shared" si="27"/>
        <v>44744</v>
      </c>
      <c r="F627">
        <f t="shared" si="28"/>
        <v>7</v>
      </c>
      <c r="G627" s="4">
        <f t="shared" si="29"/>
        <v>4.8000000009778887</v>
      </c>
      <c r="H627">
        <f>IF(COUNTIFS(B$2:B627,B627,E$2:E627,E627)=1,1,0)</f>
        <v>0</v>
      </c>
      <c r="I627">
        <f>IF(COUNTIFS(B$2:B627,B627,F$2:F627,F627)=1,1,0)</f>
        <v>0</v>
      </c>
    </row>
    <row r="628" spans="1:9" x14ac:dyDescent="0.3">
      <c r="A628">
        <v>638</v>
      </c>
      <c r="B628">
        <v>67</v>
      </c>
      <c r="C628" s="2">
        <v>44744.751493055555</v>
      </c>
      <c r="D628" s="2">
        <v>44744.762395833335</v>
      </c>
      <c r="E628" s="3">
        <f t="shared" si="27"/>
        <v>44744</v>
      </c>
      <c r="F628">
        <f t="shared" si="28"/>
        <v>7</v>
      </c>
      <c r="G628" s="4">
        <f t="shared" si="29"/>
        <v>15.700000002980232</v>
      </c>
      <c r="H628">
        <f>IF(COUNTIFS(B$2:B628,B628,E$2:E628,E628)=1,1,0)</f>
        <v>0</v>
      </c>
      <c r="I628">
        <f>IF(COUNTIFS(B$2:B628,B628,F$2:F628,F628)=1,1,0)</f>
        <v>0</v>
      </c>
    </row>
    <row r="629" spans="1:9" x14ac:dyDescent="0.3">
      <c r="A629">
        <v>639</v>
      </c>
      <c r="B629">
        <v>67</v>
      </c>
      <c r="C629" s="2">
        <v>44745.073981481481</v>
      </c>
      <c r="D629" s="2">
        <v>44745.079594907409</v>
      </c>
      <c r="E629" s="3">
        <f t="shared" si="27"/>
        <v>44745</v>
      </c>
      <c r="F629">
        <f t="shared" si="28"/>
        <v>7</v>
      </c>
      <c r="G629" s="4">
        <f t="shared" si="29"/>
        <v>8.0833333369810134</v>
      </c>
      <c r="H629">
        <f>IF(COUNTIFS(B$2:B629,B629,E$2:E629,E629)=1,1,0)</f>
        <v>1</v>
      </c>
      <c r="I629">
        <f>IF(COUNTIFS(B$2:B629,B629,F$2:F629,F629)=1,1,0)</f>
        <v>0</v>
      </c>
    </row>
    <row r="630" spans="1:9" x14ac:dyDescent="0.3">
      <c r="A630">
        <v>640</v>
      </c>
      <c r="B630">
        <v>67</v>
      </c>
      <c r="C630" s="2">
        <v>44745.245706018519</v>
      </c>
      <c r="D630" s="2">
        <v>44745.25576388889</v>
      </c>
      <c r="E630" s="3">
        <f t="shared" si="27"/>
        <v>44745</v>
      </c>
      <c r="F630">
        <f t="shared" si="28"/>
        <v>7</v>
      </c>
      <c r="G630" s="4">
        <f t="shared" si="29"/>
        <v>14.483333334792405</v>
      </c>
      <c r="H630">
        <f>IF(COUNTIFS(B$2:B630,B630,E$2:E630,E630)=1,1,0)</f>
        <v>0</v>
      </c>
      <c r="I630">
        <f>IF(COUNTIFS(B$2:B630,B630,F$2:F630,F630)=1,1,0)</f>
        <v>0</v>
      </c>
    </row>
    <row r="631" spans="1:9" x14ac:dyDescent="0.3">
      <c r="A631">
        <v>641</v>
      </c>
      <c r="B631">
        <v>67</v>
      </c>
      <c r="C631" s="2">
        <v>44745.569641203707</v>
      </c>
      <c r="D631" s="2">
        <v>44745.574756944443</v>
      </c>
      <c r="E631" s="3">
        <f t="shared" si="27"/>
        <v>44745</v>
      </c>
      <c r="F631">
        <f t="shared" si="28"/>
        <v>7</v>
      </c>
      <c r="G631" s="4">
        <f t="shared" si="29"/>
        <v>7.3666666599456221</v>
      </c>
      <c r="H631">
        <f>IF(COUNTIFS(B$2:B631,B631,E$2:E631,E631)=1,1,0)</f>
        <v>0</v>
      </c>
      <c r="I631">
        <f>IF(COUNTIFS(B$2:B631,B631,F$2:F631,F631)=1,1,0)</f>
        <v>0</v>
      </c>
    </row>
    <row r="632" spans="1:9" x14ac:dyDescent="0.3">
      <c r="A632">
        <v>642</v>
      </c>
      <c r="B632">
        <v>67</v>
      </c>
      <c r="C632" s="2">
        <v>44745.741377314815</v>
      </c>
      <c r="D632" s="2">
        <v>44745.751388888886</v>
      </c>
      <c r="E632" s="3">
        <f t="shared" si="27"/>
        <v>44745</v>
      </c>
      <c r="F632">
        <f t="shared" si="28"/>
        <v>7</v>
      </c>
      <c r="G632" s="4">
        <f t="shared" si="29"/>
        <v>14.416666663018987</v>
      </c>
      <c r="H632">
        <f>IF(COUNTIFS(B$2:B632,B632,E$2:E632,E632)=1,1,0)</f>
        <v>0</v>
      </c>
      <c r="I632">
        <f>IF(COUNTIFS(B$2:B632,B632,F$2:F632,F632)=1,1,0)</f>
        <v>0</v>
      </c>
    </row>
    <row r="633" spans="1:9" x14ac:dyDescent="0.3">
      <c r="A633">
        <v>643</v>
      </c>
      <c r="B633">
        <v>67</v>
      </c>
      <c r="C633" s="2">
        <v>44746.082442129627</v>
      </c>
      <c r="D633" s="2">
        <v>44746.088761574072</v>
      </c>
      <c r="E633" s="3">
        <f t="shared" si="27"/>
        <v>44746</v>
      </c>
      <c r="F633">
        <f t="shared" si="28"/>
        <v>7</v>
      </c>
      <c r="G633" s="4">
        <f t="shared" si="29"/>
        <v>9.1000000003259629</v>
      </c>
      <c r="H633">
        <f>IF(COUNTIFS(B$2:B633,B633,E$2:E633,E633)=1,1,0)</f>
        <v>1</v>
      </c>
      <c r="I633">
        <f>IF(COUNTIFS(B$2:B633,B633,F$2:F633,F633)=1,1,0)</f>
        <v>0</v>
      </c>
    </row>
    <row r="634" spans="1:9" x14ac:dyDescent="0.3">
      <c r="A634">
        <v>644</v>
      </c>
      <c r="B634">
        <v>67</v>
      </c>
      <c r="C634" s="2">
        <v>44746.298194444447</v>
      </c>
      <c r="D634" s="2">
        <v>44746.306793981479</v>
      </c>
      <c r="E634" s="3">
        <f t="shared" si="27"/>
        <v>44746</v>
      </c>
      <c r="F634">
        <f t="shared" si="28"/>
        <v>7</v>
      </c>
      <c r="G634" s="4">
        <f t="shared" si="29"/>
        <v>12.383333325851709</v>
      </c>
      <c r="H634">
        <f>IF(COUNTIFS(B$2:B634,B634,E$2:E634,E634)=1,1,0)</f>
        <v>0</v>
      </c>
      <c r="I634">
        <f>IF(COUNTIFS(B$2:B634,B634,F$2:F634,F634)=1,1,0)</f>
        <v>0</v>
      </c>
    </row>
    <row r="635" spans="1:9" x14ac:dyDescent="0.3">
      <c r="A635">
        <v>645</v>
      </c>
      <c r="B635">
        <v>67</v>
      </c>
      <c r="C635" s="2">
        <v>44746.612905092596</v>
      </c>
      <c r="D635" s="2">
        <v>44746.617523148147</v>
      </c>
      <c r="E635" s="3">
        <f t="shared" si="27"/>
        <v>44746</v>
      </c>
      <c r="F635">
        <f t="shared" si="28"/>
        <v>7</v>
      </c>
      <c r="G635" s="4">
        <f t="shared" si="29"/>
        <v>6.6499999933876097</v>
      </c>
      <c r="H635">
        <f>IF(COUNTIFS(B$2:B635,B635,E$2:E635,E635)=1,1,0)</f>
        <v>0</v>
      </c>
      <c r="I635">
        <f>IF(COUNTIFS(B$2:B635,B635,F$2:F635,F635)=1,1,0)</f>
        <v>0</v>
      </c>
    </row>
    <row r="636" spans="1:9" x14ac:dyDescent="0.3">
      <c r="A636">
        <v>646</v>
      </c>
      <c r="B636">
        <v>67</v>
      </c>
      <c r="C636" s="2">
        <v>44746.823159722226</v>
      </c>
      <c r="D636" s="2">
        <v>44746.830243055556</v>
      </c>
      <c r="E636" s="3">
        <f t="shared" si="27"/>
        <v>44746</v>
      </c>
      <c r="F636">
        <f t="shared" si="28"/>
        <v>7</v>
      </c>
      <c r="G636" s="4">
        <f t="shared" si="29"/>
        <v>10.199999995529652</v>
      </c>
      <c r="H636">
        <f>IF(COUNTIFS(B$2:B636,B636,E$2:E636,E636)=1,1,0)</f>
        <v>0</v>
      </c>
      <c r="I636">
        <f>IF(COUNTIFS(B$2:B636,B636,F$2:F636,F636)=1,1,0)</f>
        <v>0</v>
      </c>
    </row>
    <row r="637" spans="1:9" x14ac:dyDescent="0.3">
      <c r="A637">
        <v>647</v>
      </c>
      <c r="B637">
        <v>67</v>
      </c>
      <c r="C637" s="2">
        <v>44747.141192129631</v>
      </c>
      <c r="D637" s="2">
        <v>44747.150300925925</v>
      </c>
      <c r="E637" s="3">
        <f t="shared" si="27"/>
        <v>44747</v>
      </c>
      <c r="F637">
        <f t="shared" si="28"/>
        <v>7</v>
      </c>
      <c r="G637" s="4">
        <f t="shared" si="29"/>
        <v>13.11666666297242</v>
      </c>
      <c r="H637">
        <f>IF(COUNTIFS(B$2:B637,B637,E$2:E637,E637)=1,1,0)</f>
        <v>1</v>
      </c>
      <c r="I637">
        <f>IF(COUNTIFS(B$2:B637,B637,F$2:F637,F637)=1,1,0)</f>
        <v>0</v>
      </c>
    </row>
    <row r="638" spans="1:9" x14ac:dyDescent="0.3">
      <c r="A638">
        <v>648</v>
      </c>
      <c r="B638">
        <v>67</v>
      </c>
      <c r="C638" s="2">
        <v>44747.44091435185</v>
      </c>
      <c r="D638" s="2">
        <v>44747.447210648148</v>
      </c>
      <c r="E638" s="3">
        <f t="shared" si="27"/>
        <v>44747</v>
      </c>
      <c r="F638">
        <f t="shared" si="28"/>
        <v>7</v>
      </c>
      <c r="G638" s="4">
        <f t="shared" si="29"/>
        <v>9.066666669677943</v>
      </c>
      <c r="H638">
        <f>IF(COUNTIFS(B$2:B638,B638,E$2:E638,E638)=1,1,0)</f>
        <v>0</v>
      </c>
      <c r="I638">
        <f>IF(COUNTIFS(B$2:B638,B638,F$2:F638,F638)=1,1,0)</f>
        <v>0</v>
      </c>
    </row>
    <row r="639" spans="1:9" x14ac:dyDescent="0.3">
      <c r="A639">
        <v>649</v>
      </c>
      <c r="B639">
        <v>67</v>
      </c>
      <c r="C639" s="2">
        <v>44747.698217592595</v>
      </c>
      <c r="D639" s="2">
        <v>44747.701550925929</v>
      </c>
      <c r="E639" s="3">
        <f t="shared" si="27"/>
        <v>44747</v>
      </c>
      <c r="F639">
        <f t="shared" si="28"/>
        <v>7</v>
      </c>
      <c r="G639" s="4">
        <f t="shared" si="29"/>
        <v>4.8000000009778887</v>
      </c>
      <c r="H639">
        <f>IF(COUNTIFS(B$2:B639,B639,E$2:E639,E639)=1,1,0)</f>
        <v>0</v>
      </c>
      <c r="I639">
        <f>IF(COUNTIFS(B$2:B639,B639,F$2:F639,F639)=1,1,0)</f>
        <v>0</v>
      </c>
    </row>
    <row r="640" spans="1:9" x14ac:dyDescent="0.3">
      <c r="A640">
        <v>650</v>
      </c>
      <c r="B640">
        <v>67</v>
      </c>
      <c r="C640" s="2">
        <v>44747.9143287037</v>
      </c>
      <c r="D640" s="2">
        <v>44747.922175925924</v>
      </c>
      <c r="E640" s="3">
        <f t="shared" si="27"/>
        <v>44747</v>
      </c>
      <c r="F640">
        <f t="shared" si="28"/>
        <v>7</v>
      </c>
      <c r="G640" s="4">
        <f t="shared" si="29"/>
        <v>11.300000001210719</v>
      </c>
      <c r="H640">
        <f>IF(COUNTIFS(B$2:B640,B640,E$2:E640,E640)=1,1,0)</f>
        <v>0</v>
      </c>
      <c r="I640">
        <f>IF(COUNTIFS(B$2:B640,B640,F$2:F640,F640)=1,1,0)</f>
        <v>0</v>
      </c>
    </row>
    <row r="641" spans="1:9" x14ac:dyDescent="0.3">
      <c r="A641">
        <v>651</v>
      </c>
      <c r="B641">
        <v>67</v>
      </c>
      <c r="C641" s="2">
        <v>44747.99255787037</v>
      </c>
      <c r="D641" s="2">
        <v>44748.001516203702</v>
      </c>
      <c r="E641" s="3">
        <f t="shared" si="27"/>
        <v>44747</v>
      </c>
      <c r="F641">
        <f t="shared" si="28"/>
        <v>7</v>
      </c>
      <c r="G641" s="4">
        <f t="shared" si="29"/>
        <v>12.899999998044223</v>
      </c>
      <c r="H641">
        <f>IF(COUNTIFS(B$2:B641,B641,E$2:E641,E641)=1,1,0)</f>
        <v>0</v>
      </c>
      <c r="I641">
        <f>IF(COUNTIFS(B$2:B641,B641,F$2:F641,F641)=1,1,0)</f>
        <v>0</v>
      </c>
    </row>
    <row r="642" spans="1:9" x14ac:dyDescent="0.3">
      <c r="A642">
        <v>652</v>
      </c>
      <c r="B642">
        <v>67</v>
      </c>
      <c r="C642" s="2">
        <v>44748.077013888891</v>
      </c>
      <c r="D642" s="2">
        <v>44748.082199074073</v>
      </c>
      <c r="E642" s="3">
        <f t="shared" ref="E642:E705" si="30">INT(C642)</f>
        <v>44748</v>
      </c>
      <c r="F642">
        <f t="shared" ref="F642:F705" si="31">MONTH(C642)</f>
        <v>7</v>
      </c>
      <c r="G642" s="4">
        <f t="shared" ref="G642:G705" si="32">(D642-C642)*1440</f>
        <v>7.4666666623670608</v>
      </c>
      <c r="H642">
        <f>IF(COUNTIFS(B$2:B642,B642,E$2:E642,E642)=1,1,0)</f>
        <v>1</v>
      </c>
      <c r="I642">
        <f>IF(COUNTIFS(B$2:B642,B642,F$2:F642,F642)=1,1,0)</f>
        <v>0</v>
      </c>
    </row>
    <row r="643" spans="1:9" x14ac:dyDescent="0.3">
      <c r="A643">
        <v>653</v>
      </c>
      <c r="B643">
        <v>68</v>
      </c>
      <c r="C643" s="2">
        <v>44622.422037037039</v>
      </c>
      <c r="D643" s="2">
        <v>44622.428969907407</v>
      </c>
      <c r="E643" s="3">
        <f t="shared" si="30"/>
        <v>44622</v>
      </c>
      <c r="F643">
        <f t="shared" si="31"/>
        <v>3</v>
      </c>
      <c r="G643" s="4">
        <f t="shared" si="32"/>
        <v>9.9833333306014538</v>
      </c>
      <c r="H643">
        <f>IF(COUNTIFS(B$2:B643,B643,E$2:E643,E643)=1,1,0)</f>
        <v>1</v>
      </c>
      <c r="I643">
        <f>IF(COUNTIFS(B$2:B643,B643,F$2:F643,F643)=1,1,0)</f>
        <v>1</v>
      </c>
    </row>
    <row r="644" spans="1:9" x14ac:dyDescent="0.3">
      <c r="A644">
        <v>654</v>
      </c>
      <c r="B644">
        <v>68</v>
      </c>
      <c r="C644" s="2">
        <v>44622.582372685189</v>
      </c>
      <c r="D644" s="2">
        <v>44622.590381944443</v>
      </c>
      <c r="E644" s="3">
        <f t="shared" si="30"/>
        <v>44622</v>
      </c>
      <c r="F644">
        <f t="shared" si="31"/>
        <v>3</v>
      </c>
      <c r="G644" s="4">
        <f t="shared" si="32"/>
        <v>11.533333326224238</v>
      </c>
      <c r="H644">
        <f>IF(COUNTIFS(B$2:B644,B644,E$2:E644,E644)=1,1,0)</f>
        <v>0</v>
      </c>
      <c r="I644">
        <f>IF(COUNTIFS(B$2:B644,B644,F$2:F644,F644)=1,1,0)</f>
        <v>0</v>
      </c>
    </row>
    <row r="645" spans="1:9" x14ac:dyDescent="0.3">
      <c r="A645">
        <v>655</v>
      </c>
      <c r="B645">
        <v>68</v>
      </c>
      <c r="C645" s="2">
        <v>44622.636712962965</v>
      </c>
      <c r="D645" s="2">
        <v>44622.645115740743</v>
      </c>
      <c r="E645" s="3">
        <f t="shared" si="30"/>
        <v>44622</v>
      </c>
      <c r="F645">
        <f t="shared" si="31"/>
        <v>3</v>
      </c>
      <c r="G645" s="4">
        <f t="shared" si="32"/>
        <v>12.099999999627471</v>
      </c>
      <c r="H645">
        <f>IF(COUNTIFS(B$2:B645,B645,E$2:E645,E645)=1,1,0)</f>
        <v>0</v>
      </c>
      <c r="I645">
        <f>IF(COUNTIFS(B$2:B645,B645,F$2:F645,F645)=1,1,0)</f>
        <v>0</v>
      </c>
    </row>
    <row r="646" spans="1:9" x14ac:dyDescent="0.3">
      <c r="A646">
        <v>656</v>
      </c>
      <c r="B646">
        <v>68</v>
      </c>
      <c r="C646" s="2">
        <v>44622.701956018522</v>
      </c>
      <c r="D646" s="2">
        <v>44622.707453703704</v>
      </c>
      <c r="E646" s="3">
        <f t="shared" si="30"/>
        <v>44622</v>
      </c>
      <c r="F646">
        <f t="shared" si="31"/>
        <v>3</v>
      </c>
      <c r="G646" s="4">
        <f t="shared" si="32"/>
        <v>7.9166666627861559</v>
      </c>
      <c r="H646">
        <f>IF(COUNTIFS(B$2:B646,B646,E$2:E646,E646)=1,1,0)</f>
        <v>0</v>
      </c>
      <c r="I646">
        <f>IF(COUNTIFS(B$2:B646,B646,F$2:F646,F646)=1,1,0)</f>
        <v>0</v>
      </c>
    </row>
    <row r="647" spans="1:9" x14ac:dyDescent="0.3">
      <c r="A647">
        <v>657</v>
      </c>
      <c r="B647">
        <v>68</v>
      </c>
      <c r="C647" s="2">
        <v>44622.803715277776</v>
      </c>
      <c r="D647" s="2">
        <v>44622.807488425926</v>
      </c>
      <c r="E647" s="3">
        <f t="shared" si="30"/>
        <v>44622</v>
      </c>
      <c r="F647">
        <f t="shared" si="31"/>
        <v>3</v>
      </c>
      <c r="G647" s="4">
        <f t="shared" si="32"/>
        <v>5.4333333356771618</v>
      </c>
      <c r="H647">
        <f>IF(COUNTIFS(B$2:B647,B647,E$2:E647,E647)=1,1,0)</f>
        <v>0</v>
      </c>
      <c r="I647">
        <f>IF(COUNTIFS(B$2:B647,B647,F$2:F647,F647)=1,1,0)</f>
        <v>0</v>
      </c>
    </row>
    <row r="648" spans="1:9" x14ac:dyDescent="0.3">
      <c r="A648">
        <v>658</v>
      </c>
      <c r="B648">
        <v>68</v>
      </c>
      <c r="C648" s="2">
        <v>44623.007557870369</v>
      </c>
      <c r="D648" s="2">
        <v>44623.014108796298</v>
      </c>
      <c r="E648" s="3">
        <f t="shared" si="30"/>
        <v>44623</v>
      </c>
      <c r="F648">
        <f t="shared" si="31"/>
        <v>3</v>
      </c>
      <c r="G648" s="4">
        <f t="shared" si="32"/>
        <v>9.4333333382382989</v>
      </c>
      <c r="H648">
        <f>IF(COUNTIFS(B$2:B648,B648,E$2:E648,E648)=1,1,0)</f>
        <v>1</v>
      </c>
      <c r="I648">
        <f>IF(COUNTIFS(B$2:B648,B648,F$2:F648,F648)=1,1,0)</f>
        <v>0</v>
      </c>
    </row>
    <row r="649" spans="1:9" x14ac:dyDescent="0.3">
      <c r="A649">
        <v>659</v>
      </c>
      <c r="B649">
        <v>68</v>
      </c>
      <c r="C649" s="2">
        <v>44623.288171296299</v>
      </c>
      <c r="D649" s="2">
        <v>44623.294490740744</v>
      </c>
      <c r="E649" s="3">
        <f t="shared" si="30"/>
        <v>44623</v>
      </c>
      <c r="F649">
        <f t="shared" si="31"/>
        <v>3</v>
      </c>
      <c r="G649" s="4">
        <f t="shared" si="32"/>
        <v>9.1000000003259629</v>
      </c>
      <c r="H649">
        <f>IF(COUNTIFS(B$2:B649,B649,E$2:E649,E649)=1,1,0)</f>
        <v>0</v>
      </c>
      <c r="I649">
        <f>IF(COUNTIFS(B$2:B649,B649,F$2:F649,F649)=1,1,0)</f>
        <v>0</v>
      </c>
    </row>
    <row r="650" spans="1:9" x14ac:dyDescent="0.3">
      <c r="A650">
        <v>660</v>
      </c>
      <c r="B650">
        <v>69</v>
      </c>
      <c r="C650" s="2">
        <v>44891.872708333336</v>
      </c>
      <c r="D650" s="2">
        <v>44891.877974537034</v>
      </c>
      <c r="E650" s="3">
        <f t="shared" si="30"/>
        <v>44891</v>
      </c>
      <c r="F650">
        <f t="shared" si="31"/>
        <v>11</v>
      </c>
      <c r="G650" s="4">
        <f t="shared" si="32"/>
        <v>7.5833333248738199</v>
      </c>
      <c r="H650">
        <f>IF(COUNTIFS(B$2:B650,B650,E$2:E650,E650)=1,1,0)</f>
        <v>1</v>
      </c>
      <c r="I650">
        <f>IF(COUNTIFS(B$2:B650,B650,F$2:F650,F650)=1,1,0)</f>
        <v>1</v>
      </c>
    </row>
    <row r="651" spans="1:9" x14ac:dyDescent="0.3">
      <c r="A651">
        <v>661</v>
      </c>
      <c r="B651">
        <v>69</v>
      </c>
      <c r="C651" s="2">
        <v>44892.068136574075</v>
      </c>
      <c r="D651" s="2">
        <v>44892.074548611112</v>
      </c>
      <c r="E651" s="3">
        <f t="shared" si="30"/>
        <v>44892</v>
      </c>
      <c r="F651">
        <f t="shared" si="31"/>
        <v>11</v>
      </c>
      <c r="G651" s="4">
        <f t="shared" si="32"/>
        <v>9.2333333333954215</v>
      </c>
      <c r="H651">
        <f>IF(COUNTIFS(B$2:B651,B651,E$2:E651,E651)=1,1,0)</f>
        <v>1</v>
      </c>
      <c r="I651">
        <f>IF(COUNTIFS(B$2:B651,B651,F$2:F651,F651)=1,1,0)</f>
        <v>0</v>
      </c>
    </row>
    <row r="652" spans="1:9" x14ac:dyDescent="0.3">
      <c r="A652">
        <v>662</v>
      </c>
      <c r="B652">
        <v>69</v>
      </c>
      <c r="C652" s="2">
        <v>44892.147604166668</v>
      </c>
      <c r="D652" s="2">
        <v>44892.153287037036</v>
      </c>
      <c r="E652" s="3">
        <f t="shared" si="30"/>
        <v>44892</v>
      </c>
      <c r="F652">
        <f t="shared" si="31"/>
        <v>11</v>
      </c>
      <c r="G652" s="4">
        <f t="shared" si="32"/>
        <v>8.1833333289250731</v>
      </c>
      <c r="H652">
        <f>IF(COUNTIFS(B$2:B652,B652,E$2:E652,E652)=1,1,0)</f>
        <v>0</v>
      </c>
      <c r="I652">
        <f>IF(COUNTIFS(B$2:B652,B652,F$2:F652,F652)=1,1,0)</f>
        <v>0</v>
      </c>
    </row>
    <row r="653" spans="1:9" x14ac:dyDescent="0.3">
      <c r="A653">
        <v>663</v>
      </c>
      <c r="B653">
        <v>69</v>
      </c>
      <c r="C653" s="2">
        <v>44892.355023148149</v>
      </c>
      <c r="D653" s="2">
        <v>44892.360914351855</v>
      </c>
      <c r="E653" s="3">
        <f t="shared" si="30"/>
        <v>44892</v>
      </c>
      <c r="F653">
        <f t="shared" si="31"/>
        <v>11</v>
      </c>
      <c r="G653" s="4">
        <f t="shared" si="32"/>
        <v>8.4833333361893892</v>
      </c>
      <c r="H653">
        <f>IF(COUNTIFS(B$2:B653,B653,E$2:E653,E653)=1,1,0)</f>
        <v>0</v>
      </c>
      <c r="I653">
        <f>IF(COUNTIFS(B$2:B653,B653,F$2:F653,F653)=1,1,0)</f>
        <v>0</v>
      </c>
    </row>
    <row r="654" spans="1:9" x14ac:dyDescent="0.3">
      <c r="A654">
        <v>664</v>
      </c>
      <c r="B654">
        <v>69</v>
      </c>
      <c r="C654" s="2">
        <v>44892.552071759259</v>
      </c>
      <c r="D654" s="2">
        <v>44892.562199074076</v>
      </c>
      <c r="E654" s="3">
        <f t="shared" si="30"/>
        <v>44892</v>
      </c>
      <c r="F654">
        <f t="shared" si="31"/>
        <v>11</v>
      </c>
      <c r="G654" s="4">
        <f t="shared" si="32"/>
        <v>14.583333337213844</v>
      </c>
      <c r="H654">
        <f>IF(COUNTIFS(B$2:B654,B654,E$2:E654,E654)=1,1,0)</f>
        <v>0</v>
      </c>
      <c r="I654">
        <f>IF(COUNTIFS(B$2:B654,B654,F$2:F654,F654)=1,1,0)</f>
        <v>0</v>
      </c>
    </row>
    <row r="655" spans="1:9" x14ac:dyDescent="0.3">
      <c r="A655">
        <v>665</v>
      </c>
      <c r="B655">
        <v>69</v>
      </c>
      <c r="C655" s="2">
        <v>44892.857615740744</v>
      </c>
      <c r="D655" s="2">
        <v>44892.862604166665</v>
      </c>
      <c r="E655" s="3">
        <f t="shared" si="30"/>
        <v>44892</v>
      </c>
      <c r="F655">
        <f t="shared" si="31"/>
        <v>11</v>
      </c>
      <c r="G655" s="4">
        <f t="shared" si="32"/>
        <v>7.1833333256654441</v>
      </c>
      <c r="H655">
        <f>IF(COUNTIFS(B$2:B655,B655,E$2:E655,E655)=1,1,0)</f>
        <v>0</v>
      </c>
      <c r="I655">
        <f>IF(COUNTIFS(B$2:B655,B655,F$2:F655,F655)=1,1,0)</f>
        <v>0</v>
      </c>
    </row>
    <row r="656" spans="1:9" x14ac:dyDescent="0.3">
      <c r="A656">
        <v>666</v>
      </c>
      <c r="B656">
        <v>69</v>
      </c>
      <c r="C656" s="2">
        <v>44893.076631944445</v>
      </c>
      <c r="D656" s="2">
        <v>44893.07949074074</v>
      </c>
      <c r="E656" s="3">
        <f t="shared" si="30"/>
        <v>44893</v>
      </c>
      <c r="F656">
        <f t="shared" si="31"/>
        <v>11</v>
      </c>
      <c r="G656" s="4">
        <f t="shared" si="32"/>
        <v>4.1166666650678962</v>
      </c>
      <c r="H656">
        <f>IF(COUNTIFS(B$2:B656,B656,E$2:E656,E656)=1,1,0)</f>
        <v>1</v>
      </c>
      <c r="I656">
        <f>IF(COUNTIFS(B$2:B656,B656,F$2:F656,F656)=1,1,0)</f>
        <v>0</v>
      </c>
    </row>
    <row r="657" spans="1:9" x14ac:dyDescent="0.3">
      <c r="A657">
        <v>667</v>
      </c>
      <c r="B657">
        <v>69</v>
      </c>
      <c r="C657" s="2">
        <v>44893.338622685187</v>
      </c>
      <c r="D657" s="2">
        <v>44893.341319444444</v>
      </c>
      <c r="E657" s="3">
        <f t="shared" si="30"/>
        <v>44893</v>
      </c>
      <c r="F657">
        <f t="shared" si="31"/>
        <v>11</v>
      </c>
      <c r="G657" s="4">
        <f t="shared" si="32"/>
        <v>3.8833333295769989</v>
      </c>
      <c r="H657">
        <f>IF(COUNTIFS(B$2:B657,B657,E$2:E657,E657)=1,1,0)</f>
        <v>0</v>
      </c>
      <c r="I657">
        <f>IF(COUNTIFS(B$2:B657,B657,F$2:F657,F657)=1,1,0)</f>
        <v>0</v>
      </c>
    </row>
    <row r="658" spans="1:9" x14ac:dyDescent="0.3">
      <c r="A658">
        <v>668</v>
      </c>
      <c r="B658">
        <v>69</v>
      </c>
      <c r="C658" s="2">
        <v>44893.519189814811</v>
      </c>
      <c r="D658" s="2">
        <v>44893.527696759258</v>
      </c>
      <c r="E658" s="3">
        <f t="shared" si="30"/>
        <v>44893</v>
      </c>
      <c r="F658">
        <f t="shared" si="31"/>
        <v>11</v>
      </c>
      <c r="G658" s="4">
        <f t="shared" si="32"/>
        <v>12.250000003259629</v>
      </c>
      <c r="H658">
        <f>IF(COUNTIFS(B$2:B658,B658,E$2:E658,E658)=1,1,0)</f>
        <v>0</v>
      </c>
      <c r="I658">
        <f>IF(COUNTIFS(B$2:B658,B658,F$2:F658,F658)=1,1,0)</f>
        <v>0</v>
      </c>
    </row>
    <row r="659" spans="1:9" x14ac:dyDescent="0.3">
      <c r="A659">
        <v>669</v>
      </c>
      <c r="B659">
        <v>69</v>
      </c>
      <c r="C659" s="2">
        <v>44893.771412037036</v>
      </c>
      <c r="D659" s="2">
        <v>44893.77721064815</v>
      </c>
      <c r="E659" s="3">
        <f t="shared" si="30"/>
        <v>44893</v>
      </c>
      <c r="F659">
        <f t="shared" si="31"/>
        <v>11</v>
      </c>
      <c r="G659" s="4">
        <f t="shared" si="32"/>
        <v>8.3500000031199306</v>
      </c>
      <c r="H659">
        <f>IF(COUNTIFS(B$2:B659,B659,E$2:E659,E659)=1,1,0)</f>
        <v>0</v>
      </c>
      <c r="I659">
        <f>IF(COUNTIFS(B$2:B659,B659,F$2:F659,F659)=1,1,0)</f>
        <v>0</v>
      </c>
    </row>
    <row r="660" spans="1:9" x14ac:dyDescent="0.3">
      <c r="A660">
        <v>670</v>
      </c>
      <c r="B660">
        <v>69</v>
      </c>
      <c r="C660" s="2">
        <v>44893.849398148152</v>
      </c>
      <c r="D660" s="2">
        <v>44893.851504629631</v>
      </c>
      <c r="E660" s="3">
        <f t="shared" si="30"/>
        <v>44893</v>
      </c>
      <c r="F660">
        <f t="shared" si="31"/>
        <v>11</v>
      </c>
      <c r="G660" s="4">
        <f t="shared" si="32"/>
        <v>3.033333329949528</v>
      </c>
      <c r="H660">
        <f>IF(COUNTIFS(B$2:B660,B660,E$2:E660,E660)=1,1,0)</f>
        <v>0</v>
      </c>
      <c r="I660">
        <f>IF(COUNTIFS(B$2:B660,B660,F$2:F660,F660)=1,1,0)</f>
        <v>0</v>
      </c>
    </row>
    <row r="661" spans="1:9" x14ac:dyDescent="0.3">
      <c r="A661">
        <v>671</v>
      </c>
      <c r="B661">
        <v>69</v>
      </c>
      <c r="C661" s="2">
        <v>44893.921087962961</v>
      </c>
      <c r="D661" s="2">
        <v>44893.927766203706</v>
      </c>
      <c r="E661" s="3">
        <f t="shared" si="30"/>
        <v>44893</v>
      </c>
      <c r="F661">
        <f t="shared" si="31"/>
        <v>11</v>
      </c>
      <c r="G661" s="4">
        <f t="shared" si="32"/>
        <v>9.6166666725184768</v>
      </c>
      <c r="H661">
        <f>IF(COUNTIFS(B$2:B661,B661,E$2:E661,E661)=1,1,0)</f>
        <v>0</v>
      </c>
      <c r="I661">
        <f>IF(COUNTIFS(B$2:B661,B661,F$2:F661,F661)=1,1,0)</f>
        <v>0</v>
      </c>
    </row>
    <row r="662" spans="1:9" x14ac:dyDescent="0.3">
      <c r="A662">
        <v>672</v>
      </c>
      <c r="B662">
        <v>69</v>
      </c>
      <c r="C662" s="2">
        <v>44894.078750000001</v>
      </c>
      <c r="D662" s="2">
        <v>44894.08625</v>
      </c>
      <c r="E662" s="3">
        <f t="shared" si="30"/>
        <v>44894</v>
      </c>
      <c r="F662">
        <f t="shared" si="31"/>
        <v>11</v>
      </c>
      <c r="G662" s="4">
        <f t="shared" si="32"/>
        <v>10.799999999580905</v>
      </c>
      <c r="H662">
        <f>IF(COUNTIFS(B$2:B662,B662,E$2:E662,E662)=1,1,0)</f>
        <v>1</v>
      </c>
      <c r="I662">
        <f>IF(COUNTIFS(B$2:B662,B662,F$2:F662,F662)=1,1,0)</f>
        <v>0</v>
      </c>
    </row>
    <row r="663" spans="1:9" x14ac:dyDescent="0.3">
      <c r="A663">
        <v>673</v>
      </c>
      <c r="B663">
        <v>69</v>
      </c>
      <c r="C663" s="2">
        <v>44894.329618055555</v>
      </c>
      <c r="D663" s="2">
        <v>44894.333090277774</v>
      </c>
      <c r="E663" s="3">
        <f t="shared" si="30"/>
        <v>44894</v>
      </c>
      <c r="F663">
        <f t="shared" si="31"/>
        <v>11</v>
      </c>
      <c r="G663" s="4">
        <f t="shared" si="32"/>
        <v>4.9999999953433871</v>
      </c>
      <c r="H663">
        <f>IF(COUNTIFS(B$2:B663,B663,E$2:E663,E663)=1,1,0)</f>
        <v>0</v>
      </c>
      <c r="I663">
        <f>IF(COUNTIFS(B$2:B663,B663,F$2:F663,F663)=1,1,0)</f>
        <v>0</v>
      </c>
    </row>
    <row r="664" spans="1:9" x14ac:dyDescent="0.3">
      <c r="A664">
        <v>674</v>
      </c>
      <c r="B664">
        <v>69</v>
      </c>
      <c r="C664" s="2">
        <v>44894.464363425926</v>
      </c>
      <c r="D664" s="2">
        <v>44894.472233796296</v>
      </c>
      <c r="E664" s="3">
        <f t="shared" si="30"/>
        <v>44894</v>
      </c>
      <c r="F664">
        <f t="shared" si="31"/>
        <v>11</v>
      </c>
      <c r="G664" s="4">
        <f t="shared" si="32"/>
        <v>11.333333331858739</v>
      </c>
      <c r="H664">
        <f>IF(COUNTIFS(B$2:B664,B664,E$2:E664,E664)=1,1,0)</f>
        <v>0</v>
      </c>
      <c r="I664">
        <f>IF(COUNTIFS(B$2:B664,B664,F$2:F664,F664)=1,1,0)</f>
        <v>0</v>
      </c>
    </row>
    <row r="665" spans="1:9" x14ac:dyDescent="0.3">
      <c r="A665">
        <v>675</v>
      </c>
      <c r="B665">
        <v>69</v>
      </c>
      <c r="C665" s="2">
        <v>44894.783703703702</v>
      </c>
      <c r="D665" s="2">
        <v>44894.790659722225</v>
      </c>
      <c r="E665" s="3">
        <f t="shared" si="30"/>
        <v>44894</v>
      </c>
      <c r="F665">
        <f t="shared" si="31"/>
        <v>11</v>
      </c>
      <c r="G665" s="4">
        <f t="shared" si="32"/>
        <v>10.016666671726853</v>
      </c>
      <c r="H665">
        <f>IF(COUNTIFS(B$2:B665,B665,E$2:E665,E665)=1,1,0)</f>
        <v>0</v>
      </c>
      <c r="I665">
        <f>IF(COUNTIFS(B$2:B665,B665,F$2:F665,F665)=1,1,0)</f>
        <v>0</v>
      </c>
    </row>
    <row r="666" spans="1:9" x14ac:dyDescent="0.3">
      <c r="A666">
        <v>676</v>
      </c>
      <c r="B666">
        <v>69</v>
      </c>
      <c r="C666" s="2">
        <v>44895.130682870367</v>
      </c>
      <c r="D666" s="2">
        <v>44895.1408912037</v>
      </c>
      <c r="E666" s="3">
        <f t="shared" si="30"/>
        <v>44895</v>
      </c>
      <c r="F666">
        <f t="shared" si="31"/>
        <v>11</v>
      </c>
      <c r="G666" s="4">
        <f t="shared" si="32"/>
        <v>14.699999999720603</v>
      </c>
      <c r="H666">
        <f>IF(COUNTIFS(B$2:B666,B666,E$2:E666,E666)=1,1,0)</f>
        <v>1</v>
      </c>
      <c r="I666">
        <f>IF(COUNTIFS(B$2:B666,B666,F$2:F666,F666)=1,1,0)</f>
        <v>0</v>
      </c>
    </row>
    <row r="667" spans="1:9" x14ac:dyDescent="0.3">
      <c r="A667">
        <v>677</v>
      </c>
      <c r="B667">
        <v>69</v>
      </c>
      <c r="C667" s="2">
        <v>44895.404062499998</v>
      </c>
      <c r="D667" s="2">
        <v>44895.410729166666</v>
      </c>
      <c r="E667" s="3">
        <f t="shared" si="30"/>
        <v>44895</v>
      </c>
      <c r="F667">
        <f t="shared" si="31"/>
        <v>11</v>
      </c>
      <c r="G667" s="4">
        <f t="shared" si="32"/>
        <v>9.6000000019557774</v>
      </c>
      <c r="H667">
        <f>IF(COUNTIFS(B$2:B667,B667,E$2:E667,E667)=1,1,0)</f>
        <v>0</v>
      </c>
      <c r="I667">
        <f>IF(COUNTIFS(B$2:B667,B667,F$2:F667,F667)=1,1,0)</f>
        <v>0</v>
      </c>
    </row>
    <row r="668" spans="1:9" x14ac:dyDescent="0.3">
      <c r="A668">
        <v>678</v>
      </c>
      <c r="B668">
        <v>69</v>
      </c>
      <c r="C668" s="2">
        <v>44895.467592592591</v>
      </c>
      <c r="D668" s="2">
        <v>44895.474085648151</v>
      </c>
      <c r="E668" s="3">
        <f t="shared" si="30"/>
        <v>44895</v>
      </c>
      <c r="F668">
        <f t="shared" si="31"/>
        <v>11</v>
      </c>
      <c r="G668" s="4">
        <f t="shared" si="32"/>
        <v>9.3500000063795596</v>
      </c>
      <c r="H668">
        <f>IF(COUNTIFS(B$2:B668,B668,E$2:E668,E668)=1,1,0)</f>
        <v>0</v>
      </c>
      <c r="I668">
        <f>IF(COUNTIFS(B$2:B668,B668,F$2:F668,F668)=1,1,0)</f>
        <v>0</v>
      </c>
    </row>
    <row r="669" spans="1:9" x14ac:dyDescent="0.3">
      <c r="A669">
        <v>679</v>
      </c>
      <c r="B669">
        <v>69</v>
      </c>
      <c r="C669" s="2">
        <v>44895.558888888889</v>
      </c>
      <c r="D669" s="2">
        <v>44895.564895833333</v>
      </c>
      <c r="E669" s="3">
        <f t="shared" si="30"/>
        <v>44895</v>
      </c>
      <c r="F669">
        <f t="shared" si="31"/>
        <v>11</v>
      </c>
      <c r="G669" s="4">
        <f t="shared" si="32"/>
        <v>8.6499999999068677</v>
      </c>
      <c r="H669">
        <f>IF(COUNTIFS(B$2:B669,B669,E$2:E669,E669)=1,1,0)</f>
        <v>0</v>
      </c>
      <c r="I669">
        <f>IF(COUNTIFS(B$2:B669,B669,F$2:F669,F669)=1,1,0)</f>
        <v>0</v>
      </c>
    </row>
    <row r="670" spans="1:9" x14ac:dyDescent="0.3">
      <c r="A670">
        <v>680</v>
      </c>
      <c r="B670">
        <v>69</v>
      </c>
      <c r="C670" s="2">
        <v>44895.795775462961</v>
      </c>
      <c r="D670" s="2">
        <v>44895.805821759262</v>
      </c>
      <c r="E670" s="3">
        <f t="shared" si="30"/>
        <v>44895</v>
      </c>
      <c r="F670">
        <f t="shared" si="31"/>
        <v>11</v>
      </c>
      <c r="G670" s="4">
        <f t="shared" si="32"/>
        <v>14.466666674707085</v>
      </c>
      <c r="H670">
        <f>IF(COUNTIFS(B$2:B670,B670,E$2:E670,E670)=1,1,0)</f>
        <v>0</v>
      </c>
      <c r="I670">
        <f>IF(COUNTIFS(B$2:B670,B670,F$2:F670,F670)=1,1,0)</f>
        <v>0</v>
      </c>
    </row>
    <row r="671" spans="1:9" x14ac:dyDescent="0.3">
      <c r="A671">
        <v>681</v>
      </c>
      <c r="B671">
        <v>69</v>
      </c>
      <c r="C671" s="2">
        <v>44895.983773148146</v>
      </c>
      <c r="D671" s="2">
        <v>44895.990613425929</v>
      </c>
      <c r="E671" s="3">
        <f t="shared" si="30"/>
        <v>44895</v>
      </c>
      <c r="F671">
        <f t="shared" si="31"/>
        <v>11</v>
      </c>
      <c r="G671" s="4">
        <f t="shared" si="32"/>
        <v>9.8500000080093741</v>
      </c>
      <c r="H671">
        <f>IF(COUNTIFS(B$2:B671,B671,E$2:E671,E671)=1,1,0)</f>
        <v>0</v>
      </c>
      <c r="I671">
        <f>IF(COUNTIFS(B$2:B671,B671,F$2:F671,F671)=1,1,0)</f>
        <v>0</v>
      </c>
    </row>
    <row r="672" spans="1:9" x14ac:dyDescent="0.3">
      <c r="A672">
        <v>682</v>
      </c>
      <c r="B672">
        <v>69</v>
      </c>
      <c r="C672" s="2">
        <v>44896.086261574077</v>
      </c>
      <c r="D672" s="2">
        <v>44896.096990740742</v>
      </c>
      <c r="E672" s="3">
        <f t="shared" si="30"/>
        <v>44896</v>
      </c>
      <c r="F672">
        <f t="shared" si="31"/>
        <v>12</v>
      </c>
      <c r="G672" s="4">
        <f t="shared" si="32"/>
        <v>15.449999996926636</v>
      </c>
      <c r="H672">
        <f>IF(COUNTIFS(B$2:B672,B672,E$2:E672,E672)=1,1,0)</f>
        <v>1</v>
      </c>
      <c r="I672">
        <f>IF(COUNTIFS(B$2:B672,B672,F$2:F672,F672)=1,1,0)</f>
        <v>1</v>
      </c>
    </row>
    <row r="673" spans="1:9" x14ac:dyDescent="0.3">
      <c r="A673">
        <v>683</v>
      </c>
      <c r="B673">
        <v>69</v>
      </c>
      <c r="C673" s="2">
        <v>44896.405717592592</v>
      </c>
      <c r="D673" s="2">
        <v>44896.415810185186</v>
      </c>
      <c r="E673" s="3">
        <f t="shared" si="30"/>
        <v>44896</v>
      </c>
      <c r="F673">
        <f t="shared" si="31"/>
        <v>12</v>
      </c>
      <c r="G673" s="4">
        <f t="shared" si="32"/>
        <v>14.533333336003125</v>
      </c>
      <c r="H673">
        <f>IF(COUNTIFS(B$2:B673,B673,E$2:E673,E673)=1,1,0)</f>
        <v>0</v>
      </c>
      <c r="I673">
        <f>IF(COUNTIFS(B$2:B673,B673,F$2:F673,F673)=1,1,0)</f>
        <v>0</v>
      </c>
    </row>
    <row r="674" spans="1:9" x14ac:dyDescent="0.3">
      <c r="A674">
        <v>684</v>
      </c>
      <c r="B674">
        <v>69</v>
      </c>
      <c r="C674" s="2">
        <v>44896.592662037037</v>
      </c>
      <c r="D674" s="2">
        <v>44896.597696759258</v>
      </c>
      <c r="E674" s="3">
        <f t="shared" si="30"/>
        <v>44896</v>
      </c>
      <c r="F674">
        <f t="shared" si="31"/>
        <v>12</v>
      </c>
      <c r="G674" s="4">
        <f t="shared" si="32"/>
        <v>7.2499999974388629</v>
      </c>
      <c r="H674">
        <f>IF(COUNTIFS(B$2:B674,B674,E$2:E674,E674)=1,1,0)</f>
        <v>0</v>
      </c>
      <c r="I674">
        <f>IF(COUNTIFS(B$2:B674,B674,F$2:F674,F674)=1,1,0)</f>
        <v>0</v>
      </c>
    </row>
    <row r="675" spans="1:9" x14ac:dyDescent="0.3">
      <c r="A675">
        <v>685</v>
      </c>
      <c r="B675">
        <v>70</v>
      </c>
      <c r="C675" s="2">
        <v>44908.75409722222</v>
      </c>
      <c r="D675" s="2">
        <v>44908.760914351849</v>
      </c>
      <c r="E675" s="3">
        <f t="shared" si="30"/>
        <v>44908</v>
      </c>
      <c r="F675">
        <f t="shared" si="31"/>
        <v>12</v>
      </c>
      <c r="G675" s="4">
        <f t="shared" si="32"/>
        <v>9.8166666668839753</v>
      </c>
      <c r="H675">
        <f>IF(COUNTIFS(B$2:B675,B675,E$2:E675,E675)=1,1,0)</f>
        <v>1</v>
      </c>
      <c r="I675">
        <f>IF(COUNTIFS(B$2:B675,B675,F$2:F675,F675)=1,1,0)</f>
        <v>1</v>
      </c>
    </row>
    <row r="676" spans="1:9" x14ac:dyDescent="0.3">
      <c r="A676">
        <v>686</v>
      </c>
      <c r="B676">
        <v>70</v>
      </c>
      <c r="C676" s="2">
        <v>44908.968113425923</v>
      </c>
      <c r="D676" s="2">
        <v>44908.974942129629</v>
      </c>
      <c r="E676" s="3">
        <f t="shared" si="30"/>
        <v>44908</v>
      </c>
      <c r="F676">
        <f t="shared" si="31"/>
        <v>12</v>
      </c>
      <c r="G676" s="4">
        <f t="shared" si="32"/>
        <v>9.8333333374466747</v>
      </c>
      <c r="H676">
        <f>IF(COUNTIFS(B$2:B676,B676,E$2:E676,E676)=1,1,0)</f>
        <v>0</v>
      </c>
      <c r="I676">
        <f>IF(COUNTIFS(B$2:B676,B676,F$2:F676,F676)=1,1,0)</f>
        <v>0</v>
      </c>
    </row>
    <row r="677" spans="1:9" x14ac:dyDescent="0.3">
      <c r="A677">
        <v>687</v>
      </c>
      <c r="B677">
        <v>70</v>
      </c>
      <c r="C677" s="2">
        <v>44909.058298611111</v>
      </c>
      <c r="D677" s="2">
        <v>44909.06050925926</v>
      </c>
      <c r="E677" s="3">
        <f t="shared" si="30"/>
        <v>44909</v>
      </c>
      <c r="F677">
        <f t="shared" si="31"/>
        <v>12</v>
      </c>
      <c r="G677" s="4">
        <f t="shared" si="32"/>
        <v>3.183333333581686</v>
      </c>
      <c r="H677">
        <f>IF(COUNTIFS(B$2:B677,B677,E$2:E677,E677)=1,1,0)</f>
        <v>1</v>
      </c>
      <c r="I677">
        <f>IF(COUNTIFS(B$2:B677,B677,F$2:F677,F677)=1,1,0)</f>
        <v>0</v>
      </c>
    </row>
    <row r="678" spans="1:9" x14ac:dyDescent="0.3">
      <c r="A678">
        <v>688</v>
      </c>
      <c r="B678">
        <v>70</v>
      </c>
      <c r="C678" s="2">
        <v>44909.378194444442</v>
      </c>
      <c r="D678" s="2">
        <v>44909.386111111111</v>
      </c>
      <c r="E678" s="3">
        <f t="shared" si="30"/>
        <v>44909</v>
      </c>
      <c r="F678">
        <f t="shared" si="31"/>
        <v>12</v>
      </c>
      <c r="G678" s="4">
        <f t="shared" si="32"/>
        <v>11.400000003632158</v>
      </c>
      <c r="H678">
        <f>IF(COUNTIFS(B$2:B678,B678,E$2:E678,E678)=1,1,0)</f>
        <v>0</v>
      </c>
      <c r="I678">
        <f>IF(COUNTIFS(B$2:B678,B678,F$2:F678,F678)=1,1,0)</f>
        <v>0</v>
      </c>
    </row>
    <row r="679" spans="1:9" x14ac:dyDescent="0.3">
      <c r="A679">
        <v>689</v>
      </c>
      <c r="B679">
        <v>70</v>
      </c>
      <c r="C679" s="2">
        <v>44909.484652777777</v>
      </c>
      <c r="D679" s="2">
        <v>44909.491967592592</v>
      </c>
      <c r="E679" s="3">
        <f t="shared" si="30"/>
        <v>44909</v>
      </c>
      <c r="F679">
        <f t="shared" si="31"/>
        <v>12</v>
      </c>
      <c r="G679" s="4">
        <f t="shared" si="32"/>
        <v>10.533333333441988</v>
      </c>
      <c r="H679">
        <f>IF(COUNTIFS(B$2:B679,B679,E$2:E679,E679)=1,1,0)</f>
        <v>0</v>
      </c>
      <c r="I679">
        <f>IF(COUNTIFS(B$2:B679,B679,F$2:F679,F679)=1,1,0)</f>
        <v>0</v>
      </c>
    </row>
    <row r="680" spans="1:9" x14ac:dyDescent="0.3">
      <c r="A680">
        <v>690</v>
      </c>
      <c r="B680">
        <v>70</v>
      </c>
      <c r="C680" s="2">
        <v>44909.833645833336</v>
      </c>
      <c r="D680" s="2">
        <v>44909.840185185189</v>
      </c>
      <c r="E680" s="3">
        <f t="shared" si="30"/>
        <v>44909</v>
      </c>
      <c r="F680">
        <f t="shared" si="31"/>
        <v>12</v>
      </c>
      <c r="G680" s="4">
        <f t="shared" si="32"/>
        <v>9.4166666676755995</v>
      </c>
      <c r="H680">
        <f>IF(COUNTIFS(B$2:B680,B680,E$2:E680,E680)=1,1,0)</f>
        <v>0</v>
      </c>
      <c r="I680">
        <f>IF(COUNTIFS(B$2:B680,B680,F$2:F680,F680)=1,1,0)</f>
        <v>0</v>
      </c>
    </row>
    <row r="681" spans="1:9" x14ac:dyDescent="0.3">
      <c r="A681">
        <v>691</v>
      </c>
      <c r="B681">
        <v>71</v>
      </c>
      <c r="C681" s="2">
        <v>44744.706331018519</v>
      </c>
      <c r="D681" s="2">
        <v>44744.715069444443</v>
      </c>
      <c r="E681" s="3">
        <f t="shared" si="30"/>
        <v>44744</v>
      </c>
      <c r="F681">
        <f t="shared" si="31"/>
        <v>7</v>
      </c>
      <c r="G681" s="4">
        <f t="shared" si="32"/>
        <v>12.583333330694586</v>
      </c>
      <c r="H681">
        <f>IF(COUNTIFS(B$2:B681,B681,E$2:E681,E681)=1,1,0)</f>
        <v>1</v>
      </c>
      <c r="I681">
        <f>IF(COUNTIFS(B$2:B681,B681,F$2:F681,F681)=1,1,0)</f>
        <v>1</v>
      </c>
    </row>
    <row r="682" spans="1:9" x14ac:dyDescent="0.3">
      <c r="A682">
        <v>692</v>
      </c>
      <c r="B682">
        <v>71</v>
      </c>
      <c r="C682" s="2">
        <v>44744.944050925929</v>
      </c>
      <c r="D682" s="2">
        <v>44744.951817129629</v>
      </c>
      <c r="E682" s="3">
        <f t="shared" si="30"/>
        <v>44744</v>
      </c>
      <c r="F682">
        <f t="shared" si="31"/>
        <v>7</v>
      </c>
      <c r="G682" s="4">
        <f t="shared" si="32"/>
        <v>11.183333328226581</v>
      </c>
      <c r="H682">
        <f>IF(COUNTIFS(B$2:B682,B682,E$2:E682,E682)=1,1,0)</f>
        <v>0</v>
      </c>
      <c r="I682">
        <f>IF(COUNTIFS(B$2:B682,B682,F$2:F682,F682)=1,1,0)</f>
        <v>0</v>
      </c>
    </row>
    <row r="683" spans="1:9" x14ac:dyDescent="0.3">
      <c r="A683">
        <v>693</v>
      </c>
      <c r="B683">
        <v>71</v>
      </c>
      <c r="C683" s="2">
        <v>44745.165613425925</v>
      </c>
      <c r="D683" s="2">
        <v>44745.169988425929</v>
      </c>
      <c r="E683" s="3">
        <f t="shared" si="30"/>
        <v>44745</v>
      </c>
      <c r="F683">
        <f t="shared" si="31"/>
        <v>7</v>
      </c>
      <c r="G683" s="4">
        <f t="shared" si="32"/>
        <v>6.3000000058673322</v>
      </c>
      <c r="H683">
        <f>IF(COUNTIFS(B$2:B683,B683,E$2:E683,E683)=1,1,0)</f>
        <v>1</v>
      </c>
      <c r="I683">
        <f>IF(COUNTIFS(B$2:B683,B683,F$2:F683,F683)=1,1,0)</f>
        <v>0</v>
      </c>
    </row>
    <row r="684" spans="1:9" x14ac:dyDescent="0.3">
      <c r="A684">
        <v>694</v>
      </c>
      <c r="B684">
        <v>71</v>
      </c>
      <c r="C684" s="2">
        <v>44745.419270833336</v>
      </c>
      <c r="D684" s="2">
        <v>44745.428229166668</v>
      </c>
      <c r="E684" s="3">
        <f t="shared" si="30"/>
        <v>44745</v>
      </c>
      <c r="F684">
        <f t="shared" si="31"/>
        <v>7</v>
      </c>
      <c r="G684" s="4">
        <f t="shared" si="32"/>
        <v>12.899999998044223</v>
      </c>
      <c r="H684">
        <f>IF(COUNTIFS(B$2:B684,B684,E$2:E684,E684)=1,1,0)</f>
        <v>0</v>
      </c>
      <c r="I684">
        <f>IF(COUNTIFS(B$2:B684,B684,F$2:F684,F684)=1,1,0)</f>
        <v>0</v>
      </c>
    </row>
    <row r="685" spans="1:9" x14ac:dyDescent="0.3">
      <c r="A685">
        <v>695</v>
      </c>
      <c r="B685">
        <v>71</v>
      </c>
      <c r="C685" s="2">
        <v>44745.656840277778</v>
      </c>
      <c r="D685" s="2">
        <v>44745.661516203705</v>
      </c>
      <c r="E685" s="3">
        <f t="shared" si="30"/>
        <v>44745</v>
      </c>
      <c r="F685">
        <f t="shared" si="31"/>
        <v>7</v>
      </c>
      <c r="G685" s="4">
        <f t="shared" si="32"/>
        <v>6.7333333357237279</v>
      </c>
      <c r="H685">
        <f>IF(COUNTIFS(B$2:B685,B685,E$2:E685,E685)=1,1,0)</f>
        <v>0</v>
      </c>
      <c r="I685">
        <f>IF(COUNTIFS(B$2:B685,B685,F$2:F685,F685)=1,1,0)</f>
        <v>0</v>
      </c>
    </row>
    <row r="686" spans="1:9" x14ac:dyDescent="0.3">
      <c r="A686">
        <v>696</v>
      </c>
      <c r="B686">
        <v>71</v>
      </c>
      <c r="C686" s="2">
        <v>44745.852094907408</v>
      </c>
      <c r="D686" s="2">
        <v>44745.860833333332</v>
      </c>
      <c r="E686" s="3">
        <f t="shared" si="30"/>
        <v>44745</v>
      </c>
      <c r="F686">
        <f t="shared" si="31"/>
        <v>7</v>
      </c>
      <c r="G686" s="4">
        <f t="shared" si="32"/>
        <v>12.583333330694586</v>
      </c>
      <c r="H686">
        <f>IF(COUNTIFS(B$2:B686,B686,E$2:E686,E686)=1,1,0)</f>
        <v>0</v>
      </c>
      <c r="I686">
        <f>IF(COUNTIFS(B$2:B686,B686,F$2:F686,F686)=1,1,0)</f>
        <v>0</v>
      </c>
    </row>
    <row r="687" spans="1:9" x14ac:dyDescent="0.3">
      <c r="A687">
        <v>697</v>
      </c>
      <c r="B687">
        <v>71</v>
      </c>
      <c r="C687" s="2">
        <v>44746.107858796298</v>
      </c>
      <c r="D687" s="2">
        <v>44746.112361111111</v>
      </c>
      <c r="E687" s="3">
        <f t="shared" si="30"/>
        <v>44746</v>
      </c>
      <c r="F687">
        <f t="shared" si="31"/>
        <v>7</v>
      </c>
      <c r="G687" s="4">
        <f t="shared" si="32"/>
        <v>6.4833333296701312</v>
      </c>
      <c r="H687">
        <f>IF(COUNTIFS(B$2:B687,B687,E$2:E687,E687)=1,1,0)</f>
        <v>1</v>
      </c>
      <c r="I687">
        <f>IF(COUNTIFS(B$2:B687,B687,F$2:F687,F687)=1,1,0)</f>
        <v>0</v>
      </c>
    </row>
    <row r="688" spans="1:9" x14ac:dyDescent="0.3">
      <c r="A688">
        <v>698</v>
      </c>
      <c r="B688">
        <v>71</v>
      </c>
      <c r="C688" s="2">
        <v>44746.235115740739</v>
      </c>
      <c r="D688" s="2">
        <v>44746.243888888886</v>
      </c>
      <c r="E688" s="3">
        <f t="shared" si="30"/>
        <v>44746</v>
      </c>
      <c r="F688">
        <f t="shared" si="31"/>
        <v>7</v>
      </c>
      <c r="G688" s="4">
        <f t="shared" si="32"/>
        <v>12.633333331905305</v>
      </c>
      <c r="H688">
        <f>IF(COUNTIFS(B$2:B688,B688,E$2:E688,E688)=1,1,0)</f>
        <v>0</v>
      </c>
      <c r="I688">
        <f>IF(COUNTIFS(B$2:B688,B688,F$2:F688,F688)=1,1,0)</f>
        <v>0</v>
      </c>
    </row>
    <row r="689" spans="1:9" x14ac:dyDescent="0.3">
      <c r="A689">
        <v>699</v>
      </c>
      <c r="B689">
        <v>71</v>
      </c>
      <c r="C689" s="2">
        <v>44746.568657407406</v>
      </c>
      <c r="D689" s="2">
        <v>44746.575578703705</v>
      </c>
      <c r="E689" s="3">
        <f t="shared" si="30"/>
        <v>44746</v>
      </c>
      <c r="F689">
        <f t="shared" si="31"/>
        <v>7</v>
      </c>
      <c r="G689" s="4">
        <f t="shared" si="32"/>
        <v>9.9666666705161333</v>
      </c>
      <c r="H689">
        <f>IF(COUNTIFS(B$2:B689,B689,E$2:E689,E689)=1,1,0)</f>
        <v>0</v>
      </c>
      <c r="I689">
        <f>IF(COUNTIFS(B$2:B689,B689,F$2:F689,F689)=1,1,0)</f>
        <v>0</v>
      </c>
    </row>
    <row r="690" spans="1:9" x14ac:dyDescent="0.3">
      <c r="A690">
        <v>700</v>
      </c>
      <c r="B690">
        <v>71</v>
      </c>
      <c r="C690" s="2">
        <v>44746.705682870372</v>
      </c>
      <c r="D690" s="2">
        <v>44746.711342592593</v>
      </c>
      <c r="E690" s="3">
        <f t="shared" si="30"/>
        <v>44746</v>
      </c>
      <c r="F690">
        <f t="shared" si="31"/>
        <v>7</v>
      </c>
      <c r="G690" s="4">
        <f t="shared" si="32"/>
        <v>8.1499999982770532</v>
      </c>
      <c r="H690">
        <f>IF(COUNTIFS(B$2:B690,B690,E$2:E690,E690)=1,1,0)</f>
        <v>0</v>
      </c>
      <c r="I690">
        <f>IF(COUNTIFS(B$2:B690,B690,F$2:F690,F690)=1,1,0)</f>
        <v>0</v>
      </c>
    </row>
    <row r="691" spans="1:9" x14ac:dyDescent="0.3">
      <c r="A691">
        <v>701</v>
      </c>
      <c r="B691">
        <v>71</v>
      </c>
      <c r="C691" s="2">
        <v>44746.822800925926</v>
      </c>
      <c r="D691" s="2">
        <v>44746.829560185186</v>
      </c>
      <c r="E691" s="3">
        <f t="shared" si="30"/>
        <v>44746</v>
      </c>
      <c r="F691">
        <f t="shared" si="31"/>
        <v>7</v>
      </c>
      <c r="G691" s="4">
        <f t="shared" si="32"/>
        <v>9.733333335025236</v>
      </c>
      <c r="H691">
        <f>IF(COUNTIFS(B$2:B691,B691,E$2:E691,E691)=1,1,0)</f>
        <v>0</v>
      </c>
      <c r="I691">
        <f>IF(COUNTIFS(B$2:B691,B691,F$2:F691,F691)=1,1,0)</f>
        <v>0</v>
      </c>
    </row>
    <row r="692" spans="1:9" x14ac:dyDescent="0.3">
      <c r="A692">
        <v>702</v>
      </c>
      <c r="B692">
        <v>71</v>
      </c>
      <c r="C692" s="2">
        <v>44747.119733796295</v>
      </c>
      <c r="D692" s="2">
        <v>44747.12804398148</v>
      </c>
      <c r="E692" s="3">
        <f t="shared" si="30"/>
        <v>44747</v>
      </c>
      <c r="F692">
        <f t="shared" si="31"/>
        <v>7</v>
      </c>
      <c r="G692" s="4">
        <f t="shared" si="32"/>
        <v>11.966666666558012</v>
      </c>
      <c r="H692">
        <f>IF(COUNTIFS(B$2:B692,B692,E$2:E692,E692)=1,1,0)</f>
        <v>1</v>
      </c>
      <c r="I692">
        <f>IF(COUNTIFS(B$2:B692,B692,F$2:F692,F692)=1,1,0)</f>
        <v>0</v>
      </c>
    </row>
    <row r="693" spans="1:9" x14ac:dyDescent="0.3">
      <c r="A693">
        <v>703</v>
      </c>
      <c r="B693">
        <v>71</v>
      </c>
      <c r="C693" s="2">
        <v>44747.345891203702</v>
      </c>
      <c r="D693" s="2">
        <v>44747.35052083333</v>
      </c>
      <c r="E693" s="3">
        <f t="shared" si="30"/>
        <v>44747</v>
      </c>
      <c r="F693">
        <f t="shared" si="31"/>
        <v>7</v>
      </c>
      <c r="G693" s="4">
        <f t="shared" si="32"/>
        <v>6.6666666639503092</v>
      </c>
      <c r="H693">
        <f>IF(COUNTIFS(B$2:B693,B693,E$2:E693,E693)=1,1,0)</f>
        <v>0</v>
      </c>
      <c r="I693">
        <f>IF(COUNTIFS(B$2:B693,B693,F$2:F693,F693)=1,1,0)</f>
        <v>0</v>
      </c>
    </row>
    <row r="694" spans="1:9" x14ac:dyDescent="0.3">
      <c r="A694">
        <v>704</v>
      </c>
      <c r="B694">
        <v>71</v>
      </c>
      <c r="C694" s="2">
        <v>44747.634444444448</v>
      </c>
      <c r="D694" s="2">
        <v>44747.641215277778</v>
      </c>
      <c r="E694" s="3">
        <f t="shared" si="30"/>
        <v>44747</v>
      </c>
      <c r="F694">
        <f t="shared" si="31"/>
        <v>7</v>
      </c>
      <c r="G694" s="4">
        <f t="shared" si="32"/>
        <v>9.7499999951105565</v>
      </c>
      <c r="H694">
        <f>IF(COUNTIFS(B$2:B694,B694,E$2:E694,E694)=1,1,0)</f>
        <v>0</v>
      </c>
      <c r="I694">
        <f>IF(COUNTIFS(B$2:B694,B694,F$2:F694,F694)=1,1,0)</f>
        <v>0</v>
      </c>
    </row>
    <row r="695" spans="1:9" x14ac:dyDescent="0.3">
      <c r="A695">
        <v>705</v>
      </c>
      <c r="B695">
        <v>71</v>
      </c>
      <c r="C695" s="2">
        <v>44747.728935185187</v>
      </c>
      <c r="D695" s="2">
        <v>44747.734965277778</v>
      </c>
      <c r="E695" s="3">
        <f t="shared" si="30"/>
        <v>44747</v>
      </c>
      <c r="F695">
        <f t="shared" si="31"/>
        <v>7</v>
      </c>
      <c r="G695" s="4">
        <f t="shared" si="32"/>
        <v>8.6833333305548877</v>
      </c>
      <c r="H695">
        <f>IF(COUNTIFS(B$2:B695,B695,E$2:E695,E695)=1,1,0)</f>
        <v>0</v>
      </c>
      <c r="I695">
        <f>IF(COUNTIFS(B$2:B695,B695,F$2:F695,F695)=1,1,0)</f>
        <v>0</v>
      </c>
    </row>
    <row r="696" spans="1:9" x14ac:dyDescent="0.3">
      <c r="A696">
        <v>706</v>
      </c>
      <c r="B696">
        <v>72</v>
      </c>
      <c r="C696" s="2">
        <v>44582.972719907404</v>
      </c>
      <c r="D696" s="2">
        <v>44582.977129629631</v>
      </c>
      <c r="E696" s="3">
        <f t="shared" si="30"/>
        <v>44582</v>
      </c>
      <c r="F696">
        <f t="shared" si="31"/>
        <v>1</v>
      </c>
      <c r="G696" s="4">
        <f t="shared" si="32"/>
        <v>6.3500000070780516</v>
      </c>
      <c r="H696">
        <f>IF(COUNTIFS(B$2:B696,B696,E$2:E696,E696)=1,1,0)</f>
        <v>1</v>
      </c>
      <c r="I696">
        <f>IF(COUNTIFS(B$2:B696,B696,F$2:F696,F696)=1,1,0)</f>
        <v>1</v>
      </c>
    </row>
    <row r="697" spans="1:9" x14ac:dyDescent="0.3">
      <c r="A697">
        <v>707</v>
      </c>
      <c r="B697">
        <v>73</v>
      </c>
      <c r="C697" s="2">
        <v>44898.213043981479</v>
      </c>
      <c r="D697" s="2">
        <v>44898.220821759256</v>
      </c>
      <c r="E697" s="3">
        <f t="shared" si="30"/>
        <v>44898</v>
      </c>
      <c r="F697">
        <f t="shared" si="31"/>
        <v>12</v>
      </c>
      <c r="G697" s="4">
        <f t="shared" si="32"/>
        <v>11.199999998789281</v>
      </c>
      <c r="H697">
        <f>IF(COUNTIFS(B$2:B697,B697,E$2:E697,E697)=1,1,0)</f>
        <v>1</v>
      </c>
      <c r="I697">
        <f>IF(COUNTIFS(B$2:B697,B697,F$2:F697,F697)=1,1,0)</f>
        <v>1</v>
      </c>
    </row>
    <row r="698" spans="1:9" x14ac:dyDescent="0.3">
      <c r="A698">
        <v>708</v>
      </c>
      <c r="B698">
        <v>73</v>
      </c>
      <c r="C698" s="2">
        <v>44898.433240740742</v>
      </c>
      <c r="D698" s="2">
        <v>44898.439317129632</v>
      </c>
      <c r="E698" s="3">
        <f t="shared" si="30"/>
        <v>44898</v>
      </c>
      <c r="F698">
        <f t="shared" si="31"/>
        <v>12</v>
      </c>
      <c r="G698" s="4">
        <f t="shared" si="32"/>
        <v>8.7500000023283064</v>
      </c>
      <c r="H698">
        <f>IF(COUNTIFS(B$2:B698,B698,E$2:E698,E698)=1,1,0)</f>
        <v>0</v>
      </c>
      <c r="I698">
        <f>IF(COUNTIFS(B$2:B698,B698,F$2:F698,F698)=1,1,0)</f>
        <v>0</v>
      </c>
    </row>
    <row r="699" spans="1:9" x14ac:dyDescent="0.3">
      <c r="A699">
        <v>709</v>
      </c>
      <c r="B699">
        <v>73</v>
      </c>
      <c r="C699" s="2">
        <v>44898.609166666669</v>
      </c>
      <c r="D699" s="2">
        <v>44898.614756944444</v>
      </c>
      <c r="E699" s="3">
        <f t="shared" si="30"/>
        <v>44898</v>
      </c>
      <c r="F699">
        <f t="shared" si="31"/>
        <v>12</v>
      </c>
      <c r="G699" s="4">
        <f t="shared" si="32"/>
        <v>8.0499999958556145</v>
      </c>
      <c r="H699">
        <f>IF(COUNTIFS(B$2:B699,B699,E$2:E699,E699)=1,1,0)</f>
        <v>0</v>
      </c>
      <c r="I699">
        <f>IF(COUNTIFS(B$2:B699,B699,F$2:F699,F699)=1,1,0)</f>
        <v>0</v>
      </c>
    </row>
    <row r="700" spans="1:9" x14ac:dyDescent="0.3">
      <c r="A700">
        <v>710</v>
      </c>
      <c r="B700">
        <v>73</v>
      </c>
      <c r="C700" s="2">
        <v>44898.928217592591</v>
      </c>
      <c r="D700" s="2">
        <v>44898.936874999999</v>
      </c>
      <c r="E700" s="3">
        <f t="shared" si="30"/>
        <v>44898</v>
      </c>
      <c r="F700">
        <f t="shared" si="31"/>
        <v>12</v>
      </c>
      <c r="G700" s="4">
        <f t="shared" si="32"/>
        <v>12.466666668187827</v>
      </c>
      <c r="H700">
        <f>IF(COUNTIFS(B$2:B700,B700,E$2:E700,E700)=1,1,0)</f>
        <v>0</v>
      </c>
      <c r="I700">
        <f>IF(COUNTIFS(B$2:B700,B700,F$2:F700,F700)=1,1,0)</f>
        <v>0</v>
      </c>
    </row>
    <row r="701" spans="1:9" x14ac:dyDescent="0.3">
      <c r="A701">
        <v>711</v>
      </c>
      <c r="B701">
        <v>73</v>
      </c>
      <c r="C701" s="2">
        <v>44899.040000000001</v>
      </c>
      <c r="D701" s="2">
        <v>44899.044074074074</v>
      </c>
      <c r="E701" s="3">
        <f t="shared" si="30"/>
        <v>44899</v>
      </c>
      <c r="F701">
        <f t="shared" si="31"/>
        <v>12</v>
      </c>
      <c r="G701" s="4">
        <f t="shared" si="32"/>
        <v>5.8666666655335575</v>
      </c>
      <c r="H701">
        <f>IF(COUNTIFS(B$2:B701,B701,E$2:E701,E701)=1,1,0)</f>
        <v>1</v>
      </c>
      <c r="I701">
        <f>IF(COUNTIFS(B$2:B701,B701,F$2:F701,F701)=1,1,0)</f>
        <v>0</v>
      </c>
    </row>
    <row r="702" spans="1:9" x14ac:dyDescent="0.3">
      <c r="A702">
        <v>712</v>
      </c>
      <c r="B702">
        <v>73</v>
      </c>
      <c r="C702" s="2">
        <v>44899.114201388889</v>
      </c>
      <c r="D702" s="2">
        <v>44899.119479166664</v>
      </c>
      <c r="E702" s="3">
        <f t="shared" si="30"/>
        <v>44899</v>
      </c>
      <c r="F702">
        <f t="shared" si="31"/>
        <v>12</v>
      </c>
      <c r="G702" s="4">
        <f t="shared" si="32"/>
        <v>7.5999999954365194</v>
      </c>
      <c r="H702">
        <f>IF(COUNTIFS(B$2:B702,B702,E$2:E702,E702)=1,1,0)</f>
        <v>0</v>
      </c>
      <c r="I702">
        <f>IF(COUNTIFS(B$2:B702,B702,F$2:F702,F702)=1,1,0)</f>
        <v>0</v>
      </c>
    </row>
    <row r="703" spans="1:9" x14ac:dyDescent="0.3">
      <c r="A703">
        <v>713</v>
      </c>
      <c r="B703">
        <v>73</v>
      </c>
      <c r="C703" s="2">
        <v>44899.186678240738</v>
      </c>
      <c r="D703" s="2">
        <v>44899.189027777778</v>
      </c>
      <c r="E703" s="3">
        <f t="shared" si="30"/>
        <v>44899</v>
      </c>
      <c r="F703">
        <f t="shared" si="31"/>
        <v>12</v>
      </c>
      <c r="G703" s="4">
        <f t="shared" si="32"/>
        <v>3.3833333384245634</v>
      </c>
      <c r="H703">
        <f>IF(COUNTIFS(B$2:B703,B703,E$2:E703,E703)=1,1,0)</f>
        <v>0</v>
      </c>
      <c r="I703">
        <f>IF(COUNTIFS(B$2:B703,B703,F$2:F703,F703)=1,1,0)</f>
        <v>0</v>
      </c>
    </row>
    <row r="704" spans="1:9" x14ac:dyDescent="0.3">
      <c r="A704">
        <v>714</v>
      </c>
      <c r="B704">
        <v>73</v>
      </c>
      <c r="C704" s="2">
        <v>44899.517534722225</v>
      </c>
      <c r="D704" s="2">
        <v>44899.523981481485</v>
      </c>
      <c r="E704" s="3">
        <f t="shared" si="30"/>
        <v>44899</v>
      </c>
      <c r="F704">
        <f t="shared" si="31"/>
        <v>12</v>
      </c>
      <c r="G704" s="4">
        <f t="shared" si="32"/>
        <v>9.2833333346061409</v>
      </c>
      <c r="H704">
        <f>IF(COUNTIFS(B$2:B704,B704,E$2:E704,E704)=1,1,0)</f>
        <v>0</v>
      </c>
      <c r="I704">
        <f>IF(COUNTIFS(B$2:B704,B704,F$2:F704,F704)=1,1,0)</f>
        <v>0</v>
      </c>
    </row>
    <row r="705" spans="1:9" x14ac:dyDescent="0.3">
      <c r="A705">
        <v>715</v>
      </c>
      <c r="B705">
        <v>73</v>
      </c>
      <c r="C705" s="2">
        <v>44899.738344907404</v>
      </c>
      <c r="D705" s="2">
        <v>44899.74077546296</v>
      </c>
      <c r="E705" s="3">
        <f t="shared" si="30"/>
        <v>44899</v>
      </c>
      <c r="F705">
        <f t="shared" si="31"/>
        <v>12</v>
      </c>
      <c r="G705" s="4">
        <f t="shared" si="32"/>
        <v>3.5000000009313226</v>
      </c>
      <c r="H705">
        <f>IF(COUNTIFS(B$2:B705,B705,E$2:E705,E705)=1,1,0)</f>
        <v>0</v>
      </c>
      <c r="I705">
        <f>IF(COUNTIFS(B$2:B705,B705,F$2:F705,F705)=1,1,0)</f>
        <v>0</v>
      </c>
    </row>
    <row r="706" spans="1:9" x14ac:dyDescent="0.3">
      <c r="A706">
        <v>716</v>
      </c>
      <c r="B706">
        <v>73</v>
      </c>
      <c r="C706" s="2">
        <v>44900.033043981479</v>
      </c>
      <c r="D706" s="2">
        <v>44900.038344907407</v>
      </c>
      <c r="E706" s="3">
        <f t="shared" ref="E706:E769" si="33">INT(C706)</f>
        <v>44900</v>
      </c>
      <c r="F706">
        <f t="shared" ref="F706:F769" si="34">MONTH(C706)</f>
        <v>12</v>
      </c>
      <c r="G706" s="4">
        <f t="shared" ref="G706:G769" si="35">(D706-C706)*1440</f>
        <v>7.6333333365619183</v>
      </c>
      <c r="H706">
        <f>IF(COUNTIFS(B$2:B706,B706,E$2:E706,E706)=1,1,0)</f>
        <v>1</v>
      </c>
      <c r="I706">
        <f>IF(COUNTIFS(B$2:B706,B706,F$2:F706,F706)=1,1,0)</f>
        <v>0</v>
      </c>
    </row>
    <row r="707" spans="1:9" x14ac:dyDescent="0.3">
      <c r="A707">
        <v>717</v>
      </c>
      <c r="B707">
        <v>73</v>
      </c>
      <c r="C707" s="2">
        <v>44900.336319444446</v>
      </c>
      <c r="D707" s="2">
        <v>44900.342129629629</v>
      </c>
      <c r="E707" s="3">
        <f t="shared" si="33"/>
        <v>44900</v>
      </c>
      <c r="F707">
        <f t="shared" si="34"/>
        <v>12</v>
      </c>
      <c r="G707" s="4">
        <f t="shared" si="35"/>
        <v>8.3666666632052511</v>
      </c>
      <c r="H707">
        <f>IF(COUNTIFS(B$2:B707,B707,E$2:E707,E707)=1,1,0)</f>
        <v>0</v>
      </c>
      <c r="I707">
        <f>IF(COUNTIFS(B$2:B707,B707,F$2:F707,F707)=1,1,0)</f>
        <v>0</v>
      </c>
    </row>
    <row r="708" spans="1:9" x14ac:dyDescent="0.3">
      <c r="A708">
        <v>718</v>
      </c>
      <c r="B708">
        <v>73</v>
      </c>
      <c r="C708" s="2">
        <v>44900.592824074076</v>
      </c>
      <c r="D708" s="2">
        <v>44900.603414351855</v>
      </c>
      <c r="E708" s="3">
        <f t="shared" si="33"/>
        <v>44900</v>
      </c>
      <c r="F708">
        <f t="shared" si="34"/>
        <v>12</v>
      </c>
      <c r="G708" s="4">
        <f t="shared" si="35"/>
        <v>15.250000002561137</v>
      </c>
      <c r="H708">
        <f>IF(COUNTIFS(B$2:B708,B708,E$2:E708,E708)=1,1,0)</f>
        <v>0</v>
      </c>
      <c r="I708">
        <f>IF(COUNTIFS(B$2:B708,B708,F$2:F708,F708)=1,1,0)</f>
        <v>0</v>
      </c>
    </row>
    <row r="709" spans="1:9" x14ac:dyDescent="0.3">
      <c r="A709">
        <v>719</v>
      </c>
      <c r="B709">
        <v>73</v>
      </c>
      <c r="C709" s="2">
        <v>44900.863321759258</v>
      </c>
      <c r="D709" s="2">
        <v>44900.867847222224</v>
      </c>
      <c r="E709" s="3">
        <f t="shared" si="33"/>
        <v>44900</v>
      </c>
      <c r="F709">
        <f t="shared" si="34"/>
        <v>12</v>
      </c>
      <c r="G709" s="4">
        <f t="shared" si="35"/>
        <v>6.5166666707955301</v>
      </c>
      <c r="H709">
        <f>IF(COUNTIFS(B$2:B709,B709,E$2:E709,E709)=1,1,0)</f>
        <v>0</v>
      </c>
      <c r="I709">
        <f>IF(COUNTIFS(B$2:B709,B709,F$2:F709,F709)=1,1,0)</f>
        <v>0</v>
      </c>
    </row>
    <row r="710" spans="1:9" x14ac:dyDescent="0.3">
      <c r="A710">
        <v>720</v>
      </c>
      <c r="B710">
        <v>73</v>
      </c>
      <c r="C710" s="2">
        <v>44901.052569444444</v>
      </c>
      <c r="D710" s="2">
        <v>44901.05572916667</v>
      </c>
      <c r="E710" s="3">
        <f t="shared" si="33"/>
        <v>44901</v>
      </c>
      <c r="F710">
        <f t="shared" si="34"/>
        <v>12</v>
      </c>
      <c r="G710" s="4">
        <f t="shared" si="35"/>
        <v>4.5500000054016709</v>
      </c>
      <c r="H710">
        <f>IF(COUNTIFS(B$2:B710,B710,E$2:E710,E710)=1,1,0)</f>
        <v>1</v>
      </c>
      <c r="I710">
        <f>IF(COUNTIFS(B$2:B710,B710,F$2:F710,F710)=1,1,0)</f>
        <v>0</v>
      </c>
    </row>
    <row r="711" spans="1:9" x14ac:dyDescent="0.3">
      <c r="A711">
        <v>721</v>
      </c>
      <c r="B711">
        <v>73</v>
      </c>
      <c r="C711" s="2">
        <v>44901.391574074078</v>
      </c>
      <c r="D711" s="2">
        <v>44901.397650462961</v>
      </c>
      <c r="E711" s="3">
        <f t="shared" si="33"/>
        <v>44901</v>
      </c>
      <c r="F711">
        <f t="shared" si="34"/>
        <v>12</v>
      </c>
      <c r="G711" s="4">
        <f t="shared" si="35"/>
        <v>8.7499999918509275</v>
      </c>
      <c r="H711">
        <f>IF(COUNTIFS(B$2:B711,B711,E$2:E711,E711)=1,1,0)</f>
        <v>0</v>
      </c>
      <c r="I711">
        <f>IF(COUNTIFS(B$2:B711,B711,F$2:F711,F711)=1,1,0)</f>
        <v>0</v>
      </c>
    </row>
    <row r="712" spans="1:9" x14ac:dyDescent="0.3">
      <c r="A712">
        <v>722</v>
      </c>
      <c r="B712">
        <v>73</v>
      </c>
      <c r="C712" s="2">
        <v>44901.463553240741</v>
      </c>
      <c r="D712" s="2">
        <v>44901.469363425924</v>
      </c>
      <c r="E712" s="3">
        <f t="shared" si="33"/>
        <v>44901</v>
      </c>
      <c r="F712">
        <f t="shared" si="34"/>
        <v>12</v>
      </c>
      <c r="G712" s="4">
        <f t="shared" si="35"/>
        <v>8.3666666632052511</v>
      </c>
      <c r="H712">
        <f>IF(COUNTIFS(B$2:B712,B712,E$2:E712,E712)=1,1,0)</f>
        <v>0</v>
      </c>
      <c r="I712">
        <f>IF(COUNTIFS(B$2:B712,B712,F$2:F712,F712)=1,1,0)</f>
        <v>0</v>
      </c>
    </row>
    <row r="713" spans="1:9" x14ac:dyDescent="0.3">
      <c r="A713">
        <v>723</v>
      </c>
      <c r="B713">
        <v>73</v>
      </c>
      <c r="C713" s="2">
        <v>44901.653981481482</v>
      </c>
      <c r="D713" s="2">
        <v>44901.660011574073</v>
      </c>
      <c r="E713" s="3">
        <f t="shared" si="33"/>
        <v>44901</v>
      </c>
      <c r="F713">
        <f t="shared" si="34"/>
        <v>12</v>
      </c>
      <c r="G713" s="4">
        <f t="shared" si="35"/>
        <v>8.6833333305548877</v>
      </c>
      <c r="H713">
        <f>IF(COUNTIFS(B$2:B713,B713,E$2:E713,E713)=1,1,0)</f>
        <v>0</v>
      </c>
      <c r="I713">
        <f>IF(COUNTIFS(B$2:B713,B713,F$2:F713,F713)=1,1,0)</f>
        <v>0</v>
      </c>
    </row>
    <row r="714" spans="1:9" x14ac:dyDescent="0.3">
      <c r="A714">
        <v>724</v>
      </c>
      <c r="B714">
        <v>73</v>
      </c>
      <c r="C714" s="2">
        <v>44901.71974537037</v>
      </c>
      <c r="D714" s="2">
        <v>44901.728715277779</v>
      </c>
      <c r="E714" s="3">
        <f t="shared" si="33"/>
        <v>44901</v>
      </c>
      <c r="F714">
        <f t="shared" si="34"/>
        <v>12</v>
      </c>
      <c r="G714" s="4">
        <f t="shared" si="35"/>
        <v>12.916666668606922</v>
      </c>
      <c r="H714">
        <f>IF(COUNTIFS(B$2:B714,B714,E$2:E714,E714)=1,1,0)</f>
        <v>0</v>
      </c>
      <c r="I714">
        <f>IF(COUNTIFS(B$2:B714,B714,F$2:F714,F714)=1,1,0)</f>
        <v>0</v>
      </c>
    </row>
    <row r="715" spans="1:9" x14ac:dyDescent="0.3">
      <c r="A715">
        <v>725</v>
      </c>
      <c r="B715">
        <v>73</v>
      </c>
      <c r="C715" s="2">
        <v>44901.931481481479</v>
      </c>
      <c r="D715" s="2">
        <v>44901.937777777777</v>
      </c>
      <c r="E715" s="3">
        <f t="shared" si="33"/>
        <v>44901</v>
      </c>
      <c r="F715">
        <f t="shared" si="34"/>
        <v>12</v>
      </c>
      <c r="G715" s="4">
        <f t="shared" si="35"/>
        <v>9.066666669677943</v>
      </c>
      <c r="H715">
        <f>IF(COUNTIFS(B$2:B715,B715,E$2:E715,E715)=1,1,0)</f>
        <v>0</v>
      </c>
      <c r="I715">
        <f>IF(COUNTIFS(B$2:B715,B715,F$2:F715,F715)=1,1,0)</f>
        <v>0</v>
      </c>
    </row>
    <row r="716" spans="1:9" x14ac:dyDescent="0.3">
      <c r="A716">
        <v>726</v>
      </c>
      <c r="B716">
        <v>73</v>
      </c>
      <c r="C716" s="2">
        <v>44902.061122685183</v>
      </c>
      <c r="D716" s="2">
        <v>44902.067152777781</v>
      </c>
      <c r="E716" s="3">
        <f t="shared" si="33"/>
        <v>44902</v>
      </c>
      <c r="F716">
        <f t="shared" si="34"/>
        <v>12</v>
      </c>
      <c r="G716" s="4">
        <f t="shared" si="35"/>
        <v>8.6833333410322666</v>
      </c>
      <c r="H716">
        <f>IF(COUNTIFS(B$2:B716,B716,E$2:E716,E716)=1,1,0)</f>
        <v>1</v>
      </c>
      <c r="I716">
        <f>IF(COUNTIFS(B$2:B716,B716,F$2:F716,F716)=1,1,0)</f>
        <v>0</v>
      </c>
    </row>
    <row r="717" spans="1:9" x14ac:dyDescent="0.3">
      <c r="A717">
        <v>727</v>
      </c>
      <c r="B717">
        <v>73</v>
      </c>
      <c r="C717" s="2">
        <v>44902.11614583333</v>
      </c>
      <c r="D717" s="2">
        <v>44902.123414351852</v>
      </c>
      <c r="E717" s="3">
        <f t="shared" si="33"/>
        <v>44902</v>
      </c>
      <c r="F717">
        <f t="shared" si="34"/>
        <v>12</v>
      </c>
      <c r="G717" s="4">
        <f t="shared" si="35"/>
        <v>10.466666672145948</v>
      </c>
      <c r="H717">
        <f>IF(COUNTIFS(B$2:B717,B717,E$2:E717,E717)=1,1,0)</f>
        <v>0</v>
      </c>
      <c r="I717">
        <f>IF(COUNTIFS(B$2:B717,B717,F$2:F717,F717)=1,1,0)</f>
        <v>0</v>
      </c>
    </row>
    <row r="718" spans="1:9" x14ac:dyDescent="0.3">
      <c r="A718">
        <v>728</v>
      </c>
      <c r="B718">
        <v>73</v>
      </c>
      <c r="C718" s="2">
        <v>44902.369456018518</v>
      </c>
      <c r="D718" s="2">
        <v>44902.374652777777</v>
      </c>
      <c r="E718" s="3">
        <f t="shared" si="33"/>
        <v>44902</v>
      </c>
      <c r="F718">
        <f t="shared" si="34"/>
        <v>12</v>
      </c>
      <c r="G718" s="4">
        <f t="shared" si="35"/>
        <v>7.4833333329297602</v>
      </c>
      <c r="H718">
        <f>IF(COUNTIFS(B$2:B718,B718,E$2:E718,E718)=1,1,0)</f>
        <v>0</v>
      </c>
      <c r="I718">
        <f>IF(COUNTIFS(B$2:B718,B718,F$2:F718,F718)=1,1,0)</f>
        <v>0</v>
      </c>
    </row>
    <row r="719" spans="1:9" x14ac:dyDescent="0.3">
      <c r="A719">
        <v>729</v>
      </c>
      <c r="B719">
        <v>73</v>
      </c>
      <c r="C719" s="2">
        <v>44902.615578703706</v>
      </c>
      <c r="D719" s="2">
        <v>44902.622384259259</v>
      </c>
      <c r="E719" s="3">
        <f t="shared" si="33"/>
        <v>44902</v>
      </c>
      <c r="F719">
        <f t="shared" si="34"/>
        <v>12</v>
      </c>
      <c r="G719" s="4">
        <f t="shared" si="35"/>
        <v>9.7999999963212758</v>
      </c>
      <c r="H719">
        <f>IF(COUNTIFS(B$2:B719,B719,E$2:E719,E719)=1,1,0)</f>
        <v>0</v>
      </c>
      <c r="I719">
        <f>IF(COUNTIFS(B$2:B719,B719,F$2:F719,F719)=1,1,0)</f>
        <v>0</v>
      </c>
    </row>
    <row r="720" spans="1:9" x14ac:dyDescent="0.3">
      <c r="A720">
        <v>730</v>
      </c>
      <c r="B720">
        <v>73</v>
      </c>
      <c r="C720" s="2">
        <v>44902.960810185185</v>
      </c>
      <c r="D720" s="2">
        <v>44902.966944444444</v>
      </c>
      <c r="E720" s="3">
        <f t="shared" si="33"/>
        <v>44902</v>
      </c>
      <c r="F720">
        <f t="shared" si="34"/>
        <v>12</v>
      </c>
      <c r="G720" s="4">
        <f t="shared" si="35"/>
        <v>8.8333333341870457</v>
      </c>
      <c r="H720">
        <f>IF(COUNTIFS(B$2:B720,B720,E$2:E720,E720)=1,1,0)</f>
        <v>0</v>
      </c>
      <c r="I720">
        <f>IF(COUNTIFS(B$2:B720,B720,F$2:F720,F720)=1,1,0)</f>
        <v>0</v>
      </c>
    </row>
    <row r="721" spans="1:9" x14ac:dyDescent="0.3">
      <c r="A721">
        <v>731</v>
      </c>
      <c r="B721">
        <v>73</v>
      </c>
      <c r="C721" s="2">
        <v>44903.231932870367</v>
      </c>
      <c r="D721" s="2">
        <v>44903.235289351855</v>
      </c>
      <c r="E721" s="3">
        <f t="shared" si="33"/>
        <v>44903</v>
      </c>
      <c r="F721">
        <f t="shared" si="34"/>
        <v>12</v>
      </c>
      <c r="G721" s="4">
        <f t="shared" si="35"/>
        <v>4.8333333421032876</v>
      </c>
      <c r="H721">
        <f>IF(COUNTIFS(B$2:B721,B721,E$2:E721,E721)=1,1,0)</f>
        <v>1</v>
      </c>
      <c r="I721">
        <f>IF(COUNTIFS(B$2:B721,B721,F$2:F721,F721)=1,1,0)</f>
        <v>0</v>
      </c>
    </row>
    <row r="722" spans="1:9" x14ac:dyDescent="0.3">
      <c r="A722">
        <v>732</v>
      </c>
      <c r="B722">
        <v>73</v>
      </c>
      <c r="C722" s="2">
        <v>44903.371782407405</v>
      </c>
      <c r="D722" s="2">
        <v>44903.379675925928</v>
      </c>
      <c r="E722" s="3">
        <f t="shared" si="33"/>
        <v>44903</v>
      </c>
      <c r="F722">
        <f t="shared" si="34"/>
        <v>12</v>
      </c>
      <c r="G722" s="4">
        <f t="shared" si="35"/>
        <v>11.366666672984138</v>
      </c>
      <c r="H722">
        <f>IF(COUNTIFS(B$2:B722,B722,E$2:E722,E722)=1,1,0)</f>
        <v>0</v>
      </c>
      <c r="I722">
        <f>IF(COUNTIFS(B$2:B722,B722,F$2:F722,F722)=1,1,0)</f>
        <v>0</v>
      </c>
    </row>
    <row r="723" spans="1:9" x14ac:dyDescent="0.3">
      <c r="A723">
        <v>733</v>
      </c>
      <c r="B723">
        <v>73</v>
      </c>
      <c r="C723" s="2">
        <v>44903.427789351852</v>
      </c>
      <c r="D723" s="2">
        <v>44903.433634259258</v>
      </c>
      <c r="E723" s="3">
        <f t="shared" si="33"/>
        <v>44903</v>
      </c>
      <c r="F723">
        <f t="shared" si="34"/>
        <v>12</v>
      </c>
      <c r="G723" s="4">
        <f t="shared" si="35"/>
        <v>8.4166666644159704</v>
      </c>
      <c r="H723">
        <f>IF(COUNTIFS(B$2:B723,B723,E$2:E723,E723)=1,1,0)</f>
        <v>0</v>
      </c>
      <c r="I723">
        <f>IF(COUNTIFS(B$2:B723,B723,F$2:F723,F723)=1,1,0)</f>
        <v>0</v>
      </c>
    </row>
    <row r="724" spans="1:9" x14ac:dyDescent="0.3">
      <c r="A724">
        <v>734</v>
      </c>
      <c r="B724">
        <v>73</v>
      </c>
      <c r="C724" s="2">
        <v>44903.517604166664</v>
      </c>
      <c r="D724" s="2">
        <v>44903.525648148148</v>
      </c>
      <c r="E724" s="3">
        <f t="shared" si="33"/>
        <v>44903</v>
      </c>
      <c r="F724">
        <f t="shared" si="34"/>
        <v>12</v>
      </c>
      <c r="G724" s="4">
        <f t="shared" si="35"/>
        <v>11.583333337912336</v>
      </c>
      <c r="H724">
        <f>IF(COUNTIFS(B$2:B724,B724,E$2:E724,E724)=1,1,0)</f>
        <v>0</v>
      </c>
      <c r="I724">
        <f>IF(COUNTIFS(B$2:B724,B724,F$2:F724,F724)=1,1,0)</f>
        <v>0</v>
      </c>
    </row>
    <row r="725" spans="1:9" x14ac:dyDescent="0.3">
      <c r="A725">
        <v>735</v>
      </c>
      <c r="B725">
        <v>73</v>
      </c>
      <c r="C725" s="2">
        <v>44903.565810185188</v>
      </c>
      <c r="D725" s="2">
        <v>44903.57104166667</v>
      </c>
      <c r="E725" s="3">
        <f t="shared" si="33"/>
        <v>44903</v>
      </c>
      <c r="F725">
        <f t="shared" si="34"/>
        <v>12</v>
      </c>
      <c r="G725" s="4">
        <f t="shared" si="35"/>
        <v>7.5333333341404796</v>
      </c>
      <c r="H725">
        <f>IF(COUNTIFS(B$2:B725,B725,E$2:E725,E725)=1,1,0)</f>
        <v>0</v>
      </c>
      <c r="I725">
        <f>IF(COUNTIFS(B$2:B725,B725,F$2:F725,F725)=1,1,0)</f>
        <v>0</v>
      </c>
    </row>
    <row r="726" spans="1:9" x14ac:dyDescent="0.3">
      <c r="A726">
        <v>736</v>
      </c>
      <c r="B726">
        <v>73</v>
      </c>
      <c r="C726" s="2">
        <v>44903.906076388892</v>
      </c>
      <c r="D726" s="2">
        <v>44903.912997685184</v>
      </c>
      <c r="E726" s="3">
        <f t="shared" si="33"/>
        <v>44903</v>
      </c>
      <c r="F726">
        <f t="shared" si="34"/>
        <v>12</v>
      </c>
      <c r="G726" s="4">
        <f t="shared" si="35"/>
        <v>9.9666666600387543</v>
      </c>
      <c r="H726">
        <f>IF(COUNTIFS(B$2:B726,B726,E$2:E726,E726)=1,1,0)</f>
        <v>0</v>
      </c>
      <c r="I726">
        <f>IF(COUNTIFS(B$2:B726,B726,F$2:F726,F726)=1,1,0)</f>
        <v>0</v>
      </c>
    </row>
    <row r="727" spans="1:9" x14ac:dyDescent="0.3">
      <c r="A727">
        <v>737</v>
      </c>
      <c r="B727">
        <v>73</v>
      </c>
      <c r="C727" s="2">
        <v>44903.994398148148</v>
      </c>
      <c r="D727" s="2">
        <v>44904.00340277778</v>
      </c>
      <c r="E727" s="3">
        <f t="shared" si="33"/>
        <v>44903</v>
      </c>
      <c r="F727">
        <f t="shared" si="34"/>
        <v>12</v>
      </c>
      <c r="G727" s="4">
        <f t="shared" si="35"/>
        <v>12.966666669817641</v>
      </c>
      <c r="H727">
        <f>IF(COUNTIFS(B$2:B727,B727,E$2:E727,E727)=1,1,0)</f>
        <v>0</v>
      </c>
      <c r="I727">
        <f>IF(COUNTIFS(B$2:B727,B727,F$2:F727,F727)=1,1,0)</f>
        <v>0</v>
      </c>
    </row>
    <row r="728" spans="1:9" x14ac:dyDescent="0.3">
      <c r="A728">
        <v>738</v>
      </c>
      <c r="B728">
        <v>73</v>
      </c>
      <c r="C728" s="2">
        <v>44904.133043981485</v>
      </c>
      <c r="D728" s="2">
        <v>44904.13590277778</v>
      </c>
      <c r="E728" s="3">
        <f t="shared" si="33"/>
        <v>44904</v>
      </c>
      <c r="F728">
        <f t="shared" si="34"/>
        <v>12</v>
      </c>
      <c r="G728" s="4">
        <f t="shared" si="35"/>
        <v>4.1166666650678962</v>
      </c>
      <c r="H728">
        <f>IF(COUNTIFS(B$2:B728,B728,E$2:E728,E728)=1,1,0)</f>
        <v>1</v>
      </c>
      <c r="I728">
        <f>IF(COUNTIFS(B$2:B728,B728,F$2:F728,F728)=1,1,0)</f>
        <v>0</v>
      </c>
    </row>
    <row r="729" spans="1:9" x14ac:dyDescent="0.3">
      <c r="A729">
        <v>739</v>
      </c>
      <c r="B729">
        <v>73</v>
      </c>
      <c r="C729" s="2">
        <v>44904.249131944445</v>
      </c>
      <c r="D729" s="2">
        <v>44904.256979166668</v>
      </c>
      <c r="E729" s="3">
        <f t="shared" si="33"/>
        <v>44904</v>
      </c>
      <c r="F729">
        <f t="shared" si="34"/>
        <v>12</v>
      </c>
      <c r="G729" s="4">
        <f t="shared" si="35"/>
        <v>11.300000001210719</v>
      </c>
      <c r="H729">
        <f>IF(COUNTIFS(B$2:B729,B729,E$2:E729,E729)=1,1,0)</f>
        <v>0</v>
      </c>
      <c r="I729">
        <f>IF(COUNTIFS(B$2:B729,B729,F$2:F729,F729)=1,1,0)</f>
        <v>0</v>
      </c>
    </row>
    <row r="730" spans="1:9" x14ac:dyDescent="0.3">
      <c r="A730">
        <v>740</v>
      </c>
      <c r="B730">
        <v>73</v>
      </c>
      <c r="C730" s="2">
        <v>44904.496481481481</v>
      </c>
      <c r="D730" s="2">
        <v>44904.505879629629</v>
      </c>
      <c r="E730" s="3">
        <f t="shared" si="33"/>
        <v>44904</v>
      </c>
      <c r="F730">
        <f t="shared" si="34"/>
        <v>12</v>
      </c>
      <c r="G730" s="4">
        <f t="shared" si="35"/>
        <v>13.533333332743496</v>
      </c>
      <c r="H730">
        <f>IF(COUNTIFS(B$2:B730,B730,E$2:E730,E730)=1,1,0)</f>
        <v>0</v>
      </c>
      <c r="I730">
        <f>IF(COUNTIFS(B$2:B730,B730,F$2:F730,F730)=1,1,0)</f>
        <v>0</v>
      </c>
    </row>
    <row r="731" spans="1:9" x14ac:dyDescent="0.3">
      <c r="A731">
        <v>741</v>
      </c>
      <c r="B731">
        <v>73</v>
      </c>
      <c r="C731" s="2">
        <v>44904.795925925922</v>
      </c>
      <c r="D731" s="2">
        <v>44904.803217592591</v>
      </c>
      <c r="E731" s="3">
        <f t="shared" si="33"/>
        <v>44904</v>
      </c>
      <c r="F731">
        <f t="shared" si="34"/>
        <v>12</v>
      </c>
      <c r="G731" s="4">
        <f t="shared" si="35"/>
        <v>10.500000002793968</v>
      </c>
      <c r="H731">
        <f>IF(COUNTIFS(B$2:B731,B731,E$2:E731,E731)=1,1,0)</f>
        <v>0</v>
      </c>
      <c r="I731">
        <f>IF(COUNTIFS(B$2:B731,B731,F$2:F731,F731)=1,1,0)</f>
        <v>0</v>
      </c>
    </row>
    <row r="732" spans="1:9" x14ac:dyDescent="0.3">
      <c r="A732">
        <v>742</v>
      </c>
      <c r="B732">
        <v>73</v>
      </c>
      <c r="C732" s="2">
        <v>44905.000636574077</v>
      </c>
      <c r="D732" s="2">
        <v>44905.006678240738</v>
      </c>
      <c r="E732" s="3">
        <f t="shared" si="33"/>
        <v>44905</v>
      </c>
      <c r="F732">
        <f t="shared" si="34"/>
        <v>12</v>
      </c>
      <c r="G732" s="4">
        <f t="shared" si="35"/>
        <v>8.6999999906402081</v>
      </c>
      <c r="H732">
        <f>IF(COUNTIFS(B$2:B732,B732,E$2:E732,E732)=1,1,0)</f>
        <v>1</v>
      </c>
      <c r="I732">
        <f>IF(COUNTIFS(B$2:B732,B732,F$2:F732,F732)=1,1,0)</f>
        <v>0</v>
      </c>
    </row>
    <row r="733" spans="1:9" x14ac:dyDescent="0.3">
      <c r="A733">
        <v>743</v>
      </c>
      <c r="B733">
        <v>73</v>
      </c>
      <c r="C733" s="2">
        <v>44905.134594907409</v>
      </c>
      <c r="D733" s="2">
        <v>44905.139293981483</v>
      </c>
      <c r="E733" s="3">
        <f t="shared" si="33"/>
        <v>44905</v>
      </c>
      <c r="F733">
        <f t="shared" si="34"/>
        <v>12</v>
      </c>
      <c r="G733" s="4">
        <f t="shared" si="35"/>
        <v>6.7666666663717479</v>
      </c>
      <c r="H733">
        <f>IF(COUNTIFS(B$2:B733,B733,E$2:E733,E733)=1,1,0)</f>
        <v>0</v>
      </c>
      <c r="I733">
        <f>IF(COUNTIFS(B$2:B733,B733,F$2:F733,F733)=1,1,0)</f>
        <v>0</v>
      </c>
    </row>
    <row r="734" spans="1:9" x14ac:dyDescent="0.3">
      <c r="A734">
        <v>744</v>
      </c>
      <c r="B734">
        <v>73</v>
      </c>
      <c r="C734" s="2">
        <v>44905.218981481485</v>
      </c>
      <c r="D734" s="2">
        <v>44905.2268287037</v>
      </c>
      <c r="E734" s="3">
        <f t="shared" si="33"/>
        <v>44905</v>
      </c>
      <c r="F734">
        <f t="shared" si="34"/>
        <v>12</v>
      </c>
      <c r="G734" s="4">
        <f t="shared" si="35"/>
        <v>11.29999999073334</v>
      </c>
      <c r="H734">
        <f>IF(COUNTIFS(B$2:B734,B734,E$2:E734,E734)=1,1,0)</f>
        <v>0</v>
      </c>
      <c r="I734">
        <f>IF(COUNTIFS(B$2:B734,B734,F$2:F734,F734)=1,1,0)</f>
        <v>0</v>
      </c>
    </row>
    <row r="735" spans="1:9" x14ac:dyDescent="0.3">
      <c r="A735">
        <v>745</v>
      </c>
      <c r="B735">
        <v>73</v>
      </c>
      <c r="C735" s="2">
        <v>44905.280532407407</v>
      </c>
      <c r="D735" s="2">
        <v>44905.28800925926</v>
      </c>
      <c r="E735" s="3">
        <f t="shared" si="33"/>
        <v>44905</v>
      </c>
      <c r="F735">
        <f t="shared" si="34"/>
        <v>12</v>
      </c>
      <c r="G735" s="4">
        <f t="shared" si="35"/>
        <v>10.766666668932885</v>
      </c>
      <c r="H735">
        <f>IF(COUNTIFS(B$2:B735,B735,E$2:E735,E735)=1,1,0)</f>
        <v>0</v>
      </c>
      <c r="I735">
        <f>IF(COUNTIFS(B$2:B735,B735,F$2:F735,F735)=1,1,0)</f>
        <v>0</v>
      </c>
    </row>
    <row r="736" spans="1:9" x14ac:dyDescent="0.3">
      <c r="A736">
        <v>746</v>
      </c>
      <c r="B736">
        <v>74</v>
      </c>
      <c r="C736" s="2">
        <v>44765.646863425929</v>
      </c>
      <c r="D736" s="2">
        <v>44765.651192129626</v>
      </c>
      <c r="E736" s="3">
        <f t="shared" si="33"/>
        <v>44765</v>
      </c>
      <c r="F736">
        <f t="shared" si="34"/>
        <v>7</v>
      </c>
      <c r="G736" s="4">
        <f t="shared" si="35"/>
        <v>6.2333333236165345</v>
      </c>
      <c r="H736">
        <f>IF(COUNTIFS(B$2:B736,B736,E$2:E736,E736)=1,1,0)</f>
        <v>1</v>
      </c>
      <c r="I736">
        <f>IF(COUNTIFS(B$2:B736,B736,F$2:F736,F736)=1,1,0)</f>
        <v>1</v>
      </c>
    </row>
    <row r="737" spans="1:9" x14ac:dyDescent="0.3">
      <c r="A737">
        <v>747</v>
      </c>
      <c r="B737">
        <v>74</v>
      </c>
      <c r="C737" s="2">
        <v>44765.901979166665</v>
      </c>
      <c r="D737" s="2">
        <v>44765.905335648145</v>
      </c>
      <c r="E737" s="3">
        <f t="shared" si="33"/>
        <v>44765</v>
      </c>
      <c r="F737">
        <f t="shared" si="34"/>
        <v>7</v>
      </c>
      <c r="G737" s="4">
        <f t="shared" si="35"/>
        <v>4.8333333316259086</v>
      </c>
      <c r="H737">
        <f>IF(COUNTIFS(B$2:B737,B737,E$2:E737,E737)=1,1,0)</f>
        <v>0</v>
      </c>
      <c r="I737">
        <f>IF(COUNTIFS(B$2:B737,B737,F$2:F737,F737)=1,1,0)</f>
        <v>0</v>
      </c>
    </row>
    <row r="738" spans="1:9" x14ac:dyDescent="0.3">
      <c r="A738">
        <v>748</v>
      </c>
      <c r="B738">
        <v>74</v>
      </c>
      <c r="C738" s="2">
        <v>44766.058564814812</v>
      </c>
      <c r="D738" s="2">
        <v>44766.061782407407</v>
      </c>
      <c r="E738" s="3">
        <f t="shared" si="33"/>
        <v>44766</v>
      </c>
      <c r="F738">
        <f t="shared" si="34"/>
        <v>7</v>
      </c>
      <c r="G738" s="4">
        <f t="shared" si="35"/>
        <v>4.6333333372604102</v>
      </c>
      <c r="H738">
        <f>IF(COUNTIFS(B$2:B738,B738,E$2:E738,E738)=1,1,0)</f>
        <v>1</v>
      </c>
      <c r="I738">
        <f>IF(COUNTIFS(B$2:B738,B738,F$2:F738,F738)=1,1,0)</f>
        <v>0</v>
      </c>
    </row>
    <row r="739" spans="1:9" x14ac:dyDescent="0.3">
      <c r="A739">
        <v>749</v>
      </c>
      <c r="B739">
        <v>74</v>
      </c>
      <c r="C739" s="2">
        <v>44766.168680555558</v>
      </c>
      <c r="D739" s="2">
        <v>44766.175925925927</v>
      </c>
      <c r="E739" s="3">
        <f t="shared" si="33"/>
        <v>44766</v>
      </c>
      <c r="F739">
        <f t="shared" si="34"/>
        <v>7</v>
      </c>
      <c r="G739" s="4">
        <f t="shared" si="35"/>
        <v>10.433333331020549</v>
      </c>
      <c r="H739">
        <f>IF(COUNTIFS(B$2:B739,B739,E$2:E739,E739)=1,1,0)</f>
        <v>0</v>
      </c>
      <c r="I739">
        <f>IF(COUNTIFS(B$2:B739,B739,F$2:F739,F739)=1,1,0)</f>
        <v>0</v>
      </c>
    </row>
    <row r="740" spans="1:9" x14ac:dyDescent="0.3">
      <c r="A740">
        <v>750</v>
      </c>
      <c r="B740">
        <v>74</v>
      </c>
      <c r="C740" s="2">
        <v>44766.222905092596</v>
      </c>
      <c r="D740" s="2">
        <v>44766.231168981481</v>
      </c>
      <c r="E740" s="3">
        <f t="shared" si="33"/>
        <v>44766</v>
      </c>
      <c r="F740">
        <f t="shared" si="34"/>
        <v>7</v>
      </c>
      <c r="G740" s="4">
        <f t="shared" si="35"/>
        <v>11.899999994784594</v>
      </c>
      <c r="H740">
        <f>IF(COUNTIFS(B$2:B740,B740,E$2:E740,E740)=1,1,0)</f>
        <v>0</v>
      </c>
      <c r="I740">
        <f>IF(COUNTIFS(B$2:B740,B740,F$2:F740,F740)=1,1,0)</f>
        <v>0</v>
      </c>
    </row>
    <row r="741" spans="1:9" x14ac:dyDescent="0.3">
      <c r="A741">
        <v>751</v>
      </c>
      <c r="B741">
        <v>74</v>
      </c>
      <c r="C741" s="2">
        <v>44766.506122685183</v>
      </c>
      <c r="D741" s="2">
        <v>44766.513506944444</v>
      </c>
      <c r="E741" s="3">
        <f t="shared" si="33"/>
        <v>44766</v>
      </c>
      <c r="F741">
        <f t="shared" si="34"/>
        <v>7</v>
      </c>
      <c r="G741" s="4">
        <f t="shared" si="35"/>
        <v>10.633333335863426</v>
      </c>
      <c r="H741">
        <f>IF(COUNTIFS(B$2:B741,B741,E$2:E741,E741)=1,1,0)</f>
        <v>0</v>
      </c>
      <c r="I741">
        <f>IF(COUNTIFS(B$2:B741,B741,F$2:F741,F741)=1,1,0)</f>
        <v>0</v>
      </c>
    </row>
    <row r="742" spans="1:9" x14ac:dyDescent="0.3">
      <c r="A742">
        <v>752</v>
      </c>
      <c r="B742">
        <v>74</v>
      </c>
      <c r="C742" s="2">
        <v>44766.758564814816</v>
      </c>
      <c r="D742" s="2">
        <v>44766.764293981483</v>
      </c>
      <c r="E742" s="3">
        <f t="shared" si="33"/>
        <v>44766</v>
      </c>
      <c r="F742">
        <f t="shared" si="34"/>
        <v>7</v>
      </c>
      <c r="G742" s="4">
        <f t="shared" si="35"/>
        <v>8.2500000006984919</v>
      </c>
      <c r="H742">
        <f>IF(COUNTIFS(B$2:B742,B742,E$2:E742,E742)=1,1,0)</f>
        <v>0</v>
      </c>
      <c r="I742">
        <f>IF(COUNTIFS(B$2:B742,B742,F$2:F742,F742)=1,1,0)</f>
        <v>0</v>
      </c>
    </row>
    <row r="743" spans="1:9" x14ac:dyDescent="0.3">
      <c r="A743">
        <v>753</v>
      </c>
      <c r="B743">
        <v>74</v>
      </c>
      <c r="C743" s="2">
        <v>44766.862187500003</v>
      </c>
      <c r="D743" s="2">
        <v>44766.865324074075</v>
      </c>
      <c r="E743" s="3">
        <f t="shared" si="33"/>
        <v>44766</v>
      </c>
      <c r="F743">
        <f t="shared" si="34"/>
        <v>7</v>
      </c>
      <c r="G743" s="4">
        <f t="shared" si="35"/>
        <v>4.5166666642762721</v>
      </c>
      <c r="H743">
        <f>IF(COUNTIFS(B$2:B743,B743,E$2:E743,E743)=1,1,0)</f>
        <v>0</v>
      </c>
      <c r="I743">
        <f>IF(COUNTIFS(B$2:B743,B743,F$2:F743,F743)=1,1,0)</f>
        <v>0</v>
      </c>
    </row>
    <row r="744" spans="1:9" x14ac:dyDescent="0.3">
      <c r="A744">
        <v>754</v>
      </c>
      <c r="B744">
        <v>74</v>
      </c>
      <c r="C744" s="2">
        <v>44767.20921296296</v>
      </c>
      <c r="D744" s="2">
        <v>44767.214618055557</v>
      </c>
      <c r="E744" s="3">
        <f t="shared" si="33"/>
        <v>44767</v>
      </c>
      <c r="F744">
        <f t="shared" si="34"/>
        <v>7</v>
      </c>
      <c r="G744" s="4">
        <f t="shared" si="35"/>
        <v>7.7833333401940763</v>
      </c>
      <c r="H744">
        <f>IF(COUNTIFS(B$2:B744,B744,E$2:E744,E744)=1,1,0)</f>
        <v>1</v>
      </c>
      <c r="I744">
        <f>IF(COUNTIFS(B$2:B744,B744,F$2:F744,F744)=1,1,0)</f>
        <v>0</v>
      </c>
    </row>
    <row r="745" spans="1:9" x14ac:dyDescent="0.3">
      <c r="A745">
        <v>755</v>
      </c>
      <c r="B745">
        <v>74</v>
      </c>
      <c r="C745" s="2">
        <v>44767.319606481484</v>
      </c>
      <c r="D745" s="2">
        <v>44767.329351851855</v>
      </c>
      <c r="E745" s="3">
        <f t="shared" si="33"/>
        <v>44767</v>
      </c>
      <c r="F745">
        <f t="shared" si="34"/>
        <v>7</v>
      </c>
      <c r="G745" s="4">
        <f t="shared" si="35"/>
        <v>14.03333333437331</v>
      </c>
      <c r="H745">
        <f>IF(COUNTIFS(B$2:B745,B745,E$2:E745,E745)=1,1,0)</f>
        <v>0</v>
      </c>
      <c r="I745">
        <f>IF(COUNTIFS(B$2:B745,B745,F$2:F745,F745)=1,1,0)</f>
        <v>0</v>
      </c>
    </row>
    <row r="746" spans="1:9" x14ac:dyDescent="0.3">
      <c r="A746">
        <v>756</v>
      </c>
      <c r="B746">
        <v>74</v>
      </c>
      <c r="C746" s="2">
        <v>44767.432280092595</v>
      </c>
      <c r="D746" s="2">
        <v>44767.441168981481</v>
      </c>
      <c r="E746" s="3">
        <f t="shared" si="33"/>
        <v>44767</v>
      </c>
      <c r="F746">
        <f t="shared" si="34"/>
        <v>7</v>
      </c>
      <c r="G746" s="4">
        <f t="shared" si="35"/>
        <v>12.799999995622784</v>
      </c>
      <c r="H746">
        <f>IF(COUNTIFS(B$2:B746,B746,E$2:E746,E746)=1,1,0)</f>
        <v>0</v>
      </c>
      <c r="I746">
        <f>IF(COUNTIFS(B$2:B746,B746,F$2:F746,F746)=1,1,0)</f>
        <v>0</v>
      </c>
    </row>
    <row r="747" spans="1:9" x14ac:dyDescent="0.3">
      <c r="A747">
        <v>757</v>
      </c>
      <c r="B747">
        <v>74</v>
      </c>
      <c r="C747" s="2">
        <v>44767.493344907409</v>
      </c>
      <c r="D747" s="2">
        <v>44767.500671296293</v>
      </c>
      <c r="E747" s="3">
        <f t="shared" si="33"/>
        <v>44767</v>
      </c>
      <c r="F747">
        <f t="shared" si="34"/>
        <v>7</v>
      </c>
      <c r="G747" s="4">
        <f t="shared" si="35"/>
        <v>10.549999993527308</v>
      </c>
      <c r="H747">
        <f>IF(COUNTIFS(B$2:B747,B747,E$2:E747,E747)=1,1,0)</f>
        <v>0</v>
      </c>
      <c r="I747">
        <f>IF(COUNTIFS(B$2:B747,B747,F$2:F747,F747)=1,1,0)</f>
        <v>0</v>
      </c>
    </row>
    <row r="748" spans="1:9" x14ac:dyDescent="0.3">
      <c r="A748">
        <v>758</v>
      </c>
      <c r="B748">
        <v>74</v>
      </c>
      <c r="C748" s="2">
        <v>44767.578414351854</v>
      </c>
      <c r="D748" s="2">
        <v>44767.584270833337</v>
      </c>
      <c r="E748" s="3">
        <f t="shared" si="33"/>
        <v>44767</v>
      </c>
      <c r="F748">
        <f t="shared" si="34"/>
        <v>7</v>
      </c>
      <c r="G748" s="4">
        <f t="shared" si="35"/>
        <v>8.4333333349786699</v>
      </c>
      <c r="H748">
        <f>IF(COUNTIFS(B$2:B748,B748,E$2:E748,E748)=1,1,0)</f>
        <v>0</v>
      </c>
      <c r="I748">
        <f>IF(COUNTIFS(B$2:B748,B748,F$2:F748,F748)=1,1,0)</f>
        <v>0</v>
      </c>
    </row>
    <row r="749" spans="1:9" x14ac:dyDescent="0.3">
      <c r="A749">
        <v>759</v>
      </c>
      <c r="B749">
        <v>74</v>
      </c>
      <c r="C749" s="2">
        <v>44767.656192129631</v>
      </c>
      <c r="D749" s="2">
        <v>44767.66302083333</v>
      </c>
      <c r="E749" s="3">
        <f t="shared" si="33"/>
        <v>44767</v>
      </c>
      <c r="F749">
        <f t="shared" si="34"/>
        <v>7</v>
      </c>
      <c r="G749" s="4">
        <f t="shared" si="35"/>
        <v>9.8333333269692957</v>
      </c>
      <c r="H749">
        <f>IF(COUNTIFS(B$2:B749,B749,E$2:E749,E749)=1,1,0)</f>
        <v>0</v>
      </c>
      <c r="I749">
        <f>IF(COUNTIFS(B$2:B749,B749,F$2:F749,F749)=1,1,0)</f>
        <v>0</v>
      </c>
    </row>
    <row r="750" spans="1:9" x14ac:dyDescent="0.3">
      <c r="A750">
        <v>760</v>
      </c>
      <c r="B750">
        <v>74</v>
      </c>
      <c r="C750" s="2">
        <v>44767.925185185188</v>
      </c>
      <c r="D750" s="2">
        <v>44767.933611111112</v>
      </c>
      <c r="E750" s="3">
        <f t="shared" si="33"/>
        <v>44767</v>
      </c>
      <c r="F750">
        <f t="shared" si="34"/>
        <v>7</v>
      </c>
      <c r="G750" s="4">
        <f t="shared" si="35"/>
        <v>12.133333330275491</v>
      </c>
      <c r="H750">
        <f>IF(COUNTIFS(B$2:B750,B750,E$2:E750,E750)=1,1,0)</f>
        <v>0</v>
      </c>
      <c r="I750">
        <f>IF(COUNTIFS(B$2:B750,B750,F$2:F750,F750)=1,1,0)</f>
        <v>0</v>
      </c>
    </row>
    <row r="751" spans="1:9" x14ac:dyDescent="0.3">
      <c r="A751">
        <v>761</v>
      </c>
      <c r="B751">
        <v>74</v>
      </c>
      <c r="C751" s="2">
        <v>44767.974259259259</v>
      </c>
      <c r="D751" s="2">
        <v>44767.981249999997</v>
      </c>
      <c r="E751" s="3">
        <f t="shared" si="33"/>
        <v>44767</v>
      </c>
      <c r="F751">
        <f t="shared" si="34"/>
        <v>7</v>
      </c>
      <c r="G751" s="4">
        <f t="shared" si="35"/>
        <v>10.066666662460193</v>
      </c>
      <c r="H751">
        <f>IF(COUNTIFS(B$2:B751,B751,E$2:E751,E751)=1,1,0)</f>
        <v>0</v>
      </c>
      <c r="I751">
        <f>IF(COUNTIFS(B$2:B751,B751,F$2:F751,F751)=1,1,0)</f>
        <v>0</v>
      </c>
    </row>
    <row r="752" spans="1:9" x14ac:dyDescent="0.3">
      <c r="A752">
        <v>762</v>
      </c>
      <c r="B752">
        <v>74</v>
      </c>
      <c r="C752" s="2">
        <v>44768.243206018517</v>
      </c>
      <c r="D752" s="2">
        <v>44768.245127314818</v>
      </c>
      <c r="E752" s="3">
        <f t="shared" si="33"/>
        <v>44768</v>
      </c>
      <c r="F752">
        <f t="shared" si="34"/>
        <v>7</v>
      </c>
      <c r="G752" s="4">
        <f t="shared" si="35"/>
        <v>2.7666666742879897</v>
      </c>
      <c r="H752">
        <f>IF(COUNTIFS(B$2:B752,B752,E$2:E752,E752)=1,1,0)</f>
        <v>1</v>
      </c>
      <c r="I752">
        <f>IF(COUNTIFS(B$2:B752,B752,F$2:F752,F752)=1,1,0)</f>
        <v>0</v>
      </c>
    </row>
    <row r="753" spans="1:9" x14ac:dyDescent="0.3">
      <c r="A753">
        <v>763</v>
      </c>
      <c r="B753">
        <v>74</v>
      </c>
      <c r="C753" s="2">
        <v>44768.417557870373</v>
      </c>
      <c r="D753" s="2">
        <v>44768.427002314813</v>
      </c>
      <c r="E753" s="3">
        <f t="shared" si="33"/>
        <v>44768</v>
      </c>
      <c r="F753">
        <f t="shared" si="34"/>
        <v>7</v>
      </c>
      <c r="G753" s="4">
        <f t="shared" si="35"/>
        <v>13.599999994039536</v>
      </c>
      <c r="H753">
        <f>IF(COUNTIFS(B$2:B753,B753,E$2:E753,E753)=1,1,0)</f>
        <v>0</v>
      </c>
      <c r="I753">
        <f>IF(COUNTIFS(B$2:B753,B753,F$2:F753,F753)=1,1,0)</f>
        <v>0</v>
      </c>
    </row>
    <row r="754" spans="1:9" x14ac:dyDescent="0.3">
      <c r="A754">
        <v>764</v>
      </c>
      <c r="B754">
        <v>74</v>
      </c>
      <c r="C754" s="2">
        <v>44768.617812500001</v>
      </c>
      <c r="D754" s="2">
        <v>44768.623263888891</v>
      </c>
      <c r="E754" s="3">
        <f t="shared" si="33"/>
        <v>44768</v>
      </c>
      <c r="F754">
        <f t="shared" si="34"/>
        <v>7</v>
      </c>
      <c r="G754" s="4">
        <f t="shared" si="35"/>
        <v>7.8500000014901161</v>
      </c>
      <c r="H754">
        <f>IF(COUNTIFS(B$2:B754,B754,E$2:E754,E754)=1,1,0)</f>
        <v>0</v>
      </c>
      <c r="I754">
        <f>IF(COUNTIFS(B$2:B754,B754,F$2:F754,F754)=1,1,0)</f>
        <v>0</v>
      </c>
    </row>
    <row r="755" spans="1:9" x14ac:dyDescent="0.3">
      <c r="A755">
        <v>765</v>
      </c>
      <c r="B755">
        <v>74</v>
      </c>
      <c r="C755" s="2">
        <v>44768.93886574074</v>
      </c>
      <c r="D755" s="2">
        <v>44768.948159722226</v>
      </c>
      <c r="E755" s="3">
        <f t="shared" si="33"/>
        <v>44768</v>
      </c>
      <c r="F755">
        <f t="shared" si="34"/>
        <v>7</v>
      </c>
      <c r="G755" s="4">
        <f t="shared" si="35"/>
        <v>13.383333339588717</v>
      </c>
      <c r="H755">
        <f>IF(COUNTIFS(B$2:B755,B755,E$2:E755,E755)=1,1,0)</f>
        <v>0</v>
      </c>
      <c r="I755">
        <f>IF(COUNTIFS(B$2:B755,B755,F$2:F755,F755)=1,1,0)</f>
        <v>0</v>
      </c>
    </row>
    <row r="756" spans="1:9" x14ac:dyDescent="0.3">
      <c r="A756">
        <v>766</v>
      </c>
      <c r="B756">
        <v>74</v>
      </c>
      <c r="C756" s="2">
        <v>44769.083796296298</v>
      </c>
      <c r="D756" s="2">
        <v>44769.089594907404</v>
      </c>
      <c r="E756" s="3">
        <f t="shared" si="33"/>
        <v>44769</v>
      </c>
      <c r="F756">
        <f t="shared" si="34"/>
        <v>7</v>
      </c>
      <c r="G756" s="4">
        <f t="shared" si="35"/>
        <v>8.3499999926425517</v>
      </c>
      <c r="H756">
        <f>IF(COUNTIFS(B$2:B756,B756,E$2:E756,E756)=1,1,0)</f>
        <v>1</v>
      </c>
      <c r="I756">
        <f>IF(COUNTIFS(B$2:B756,B756,F$2:F756,F756)=1,1,0)</f>
        <v>0</v>
      </c>
    </row>
    <row r="757" spans="1:9" x14ac:dyDescent="0.3">
      <c r="A757">
        <v>767</v>
      </c>
      <c r="B757">
        <v>74</v>
      </c>
      <c r="C757" s="2">
        <v>44769.423425925925</v>
      </c>
      <c r="D757" s="2">
        <v>44769.431689814817</v>
      </c>
      <c r="E757" s="3">
        <f t="shared" si="33"/>
        <v>44769</v>
      </c>
      <c r="F757">
        <f t="shared" si="34"/>
        <v>7</v>
      </c>
      <c r="G757" s="4">
        <f t="shared" si="35"/>
        <v>11.900000005261973</v>
      </c>
      <c r="H757">
        <f>IF(COUNTIFS(B$2:B757,B757,E$2:E757,E757)=1,1,0)</f>
        <v>0</v>
      </c>
      <c r="I757">
        <f>IF(COUNTIFS(B$2:B757,B757,F$2:F757,F757)=1,1,0)</f>
        <v>0</v>
      </c>
    </row>
    <row r="758" spans="1:9" x14ac:dyDescent="0.3">
      <c r="A758">
        <v>768</v>
      </c>
      <c r="B758">
        <v>74</v>
      </c>
      <c r="C758" s="2">
        <v>44769.500821759262</v>
      </c>
      <c r="D758" s="2">
        <v>44769.50513888889</v>
      </c>
      <c r="E758" s="3">
        <f t="shared" si="33"/>
        <v>44769</v>
      </c>
      <c r="F758">
        <f t="shared" si="34"/>
        <v>7</v>
      </c>
      <c r="G758" s="4">
        <f t="shared" si="35"/>
        <v>6.216666663531214</v>
      </c>
      <c r="H758">
        <f>IF(COUNTIFS(B$2:B758,B758,E$2:E758,E758)=1,1,0)</f>
        <v>0</v>
      </c>
      <c r="I758">
        <f>IF(COUNTIFS(B$2:B758,B758,F$2:F758,F758)=1,1,0)</f>
        <v>0</v>
      </c>
    </row>
    <row r="759" spans="1:9" x14ac:dyDescent="0.3">
      <c r="A759">
        <v>769</v>
      </c>
      <c r="B759">
        <v>74</v>
      </c>
      <c r="C759" s="2">
        <v>44769.746342592596</v>
      </c>
      <c r="D759" s="2">
        <v>44769.751099537039</v>
      </c>
      <c r="E759" s="3">
        <f t="shared" si="33"/>
        <v>44769</v>
      </c>
      <c r="F759">
        <f t="shared" si="34"/>
        <v>7</v>
      </c>
      <c r="G759" s="4">
        <f t="shared" si="35"/>
        <v>6.8499999982304871</v>
      </c>
      <c r="H759">
        <f>IF(COUNTIFS(B$2:B759,B759,E$2:E759,E759)=1,1,0)</f>
        <v>0</v>
      </c>
      <c r="I759">
        <f>IF(COUNTIFS(B$2:B759,B759,F$2:F759,F759)=1,1,0)</f>
        <v>0</v>
      </c>
    </row>
    <row r="760" spans="1:9" x14ac:dyDescent="0.3">
      <c r="A760">
        <v>770</v>
      </c>
      <c r="B760">
        <v>74</v>
      </c>
      <c r="C760" s="2">
        <v>44770.049178240741</v>
      </c>
      <c r="D760" s="2">
        <v>44770.056944444441</v>
      </c>
      <c r="E760" s="3">
        <f t="shared" si="33"/>
        <v>44770</v>
      </c>
      <c r="F760">
        <f t="shared" si="34"/>
        <v>7</v>
      </c>
      <c r="G760" s="4">
        <f t="shared" si="35"/>
        <v>11.183333328226581</v>
      </c>
      <c r="H760">
        <f>IF(COUNTIFS(B$2:B760,B760,E$2:E760,E760)=1,1,0)</f>
        <v>1</v>
      </c>
      <c r="I760">
        <f>IF(COUNTIFS(B$2:B760,B760,F$2:F760,F760)=1,1,0)</f>
        <v>0</v>
      </c>
    </row>
    <row r="761" spans="1:9" x14ac:dyDescent="0.3">
      <c r="A761">
        <v>771</v>
      </c>
      <c r="B761">
        <v>74</v>
      </c>
      <c r="C761" s="2">
        <v>44770.119837962964</v>
      </c>
      <c r="D761" s="2">
        <v>44770.12158564815</v>
      </c>
      <c r="E761" s="3">
        <f t="shared" si="33"/>
        <v>44770</v>
      </c>
      <c r="F761">
        <f t="shared" si="34"/>
        <v>7</v>
      </c>
      <c r="G761" s="4">
        <f t="shared" si="35"/>
        <v>2.516666668234393</v>
      </c>
      <c r="H761">
        <f>IF(COUNTIFS(B$2:B761,B761,E$2:E761,E761)=1,1,0)</f>
        <v>0</v>
      </c>
      <c r="I761">
        <f>IF(COUNTIFS(B$2:B761,B761,F$2:F761,F761)=1,1,0)</f>
        <v>0</v>
      </c>
    </row>
    <row r="762" spans="1:9" x14ac:dyDescent="0.3">
      <c r="A762">
        <v>772</v>
      </c>
      <c r="B762">
        <v>74</v>
      </c>
      <c r="C762" s="2">
        <v>44770.163854166669</v>
      </c>
      <c r="D762" s="2">
        <v>44770.169907407406</v>
      </c>
      <c r="E762" s="3">
        <f t="shared" si="33"/>
        <v>44770</v>
      </c>
      <c r="F762">
        <f t="shared" si="34"/>
        <v>7</v>
      </c>
      <c r="G762" s="4">
        <f t="shared" si="35"/>
        <v>8.7166666612029076</v>
      </c>
      <c r="H762">
        <f>IF(COUNTIFS(B$2:B762,B762,E$2:E762,E762)=1,1,0)</f>
        <v>0</v>
      </c>
      <c r="I762">
        <f>IF(COUNTIFS(B$2:B762,B762,F$2:F762,F762)=1,1,0)</f>
        <v>0</v>
      </c>
    </row>
    <row r="763" spans="1:9" x14ac:dyDescent="0.3">
      <c r="A763">
        <v>773</v>
      </c>
      <c r="B763">
        <v>74</v>
      </c>
      <c r="C763" s="2">
        <v>44770.445532407408</v>
      </c>
      <c r="D763" s="2">
        <v>44770.454479166663</v>
      </c>
      <c r="E763" s="3">
        <f t="shared" si="33"/>
        <v>44770</v>
      </c>
      <c r="F763">
        <f t="shared" si="34"/>
        <v>7</v>
      </c>
      <c r="G763" s="4">
        <f t="shared" si="35"/>
        <v>12.883333327481523</v>
      </c>
      <c r="H763">
        <f>IF(COUNTIFS(B$2:B763,B763,E$2:E763,E763)=1,1,0)</f>
        <v>0</v>
      </c>
      <c r="I763">
        <f>IF(COUNTIFS(B$2:B763,B763,F$2:F763,F763)=1,1,0)</f>
        <v>0</v>
      </c>
    </row>
    <row r="764" spans="1:9" x14ac:dyDescent="0.3">
      <c r="A764">
        <v>774</v>
      </c>
      <c r="B764">
        <v>74</v>
      </c>
      <c r="C764" s="2">
        <v>44770.610127314816</v>
      </c>
      <c r="D764" s="2">
        <v>44770.615023148152</v>
      </c>
      <c r="E764" s="3">
        <f t="shared" si="33"/>
        <v>44770</v>
      </c>
      <c r="F764">
        <f t="shared" si="34"/>
        <v>7</v>
      </c>
      <c r="G764" s="4">
        <f t="shared" si="35"/>
        <v>7.0500000030733645</v>
      </c>
      <c r="H764">
        <f>IF(COUNTIFS(B$2:B764,B764,E$2:E764,E764)=1,1,0)</f>
        <v>0</v>
      </c>
      <c r="I764">
        <f>IF(COUNTIFS(B$2:B764,B764,F$2:F764,F764)=1,1,0)</f>
        <v>0</v>
      </c>
    </row>
    <row r="765" spans="1:9" x14ac:dyDescent="0.3">
      <c r="A765">
        <v>775</v>
      </c>
      <c r="B765">
        <v>74</v>
      </c>
      <c r="C765" s="2">
        <v>44770.717731481483</v>
      </c>
      <c r="D765" s="2">
        <v>44770.72824074074</v>
      </c>
      <c r="E765" s="3">
        <f t="shared" si="33"/>
        <v>44770</v>
      </c>
      <c r="F765">
        <f t="shared" si="34"/>
        <v>7</v>
      </c>
      <c r="G765" s="4">
        <f t="shared" si="35"/>
        <v>15.133333329576999</v>
      </c>
      <c r="H765">
        <f>IF(COUNTIFS(B$2:B765,B765,E$2:E765,E765)=1,1,0)</f>
        <v>0</v>
      </c>
      <c r="I765">
        <f>IF(COUNTIFS(B$2:B765,B765,F$2:F765,F765)=1,1,0)</f>
        <v>0</v>
      </c>
    </row>
    <row r="766" spans="1:9" x14ac:dyDescent="0.3">
      <c r="A766">
        <v>776</v>
      </c>
      <c r="B766">
        <v>74</v>
      </c>
      <c r="C766" s="2">
        <v>44770.971643518518</v>
      </c>
      <c r="D766" s="2">
        <v>44770.974293981482</v>
      </c>
      <c r="E766" s="3">
        <f t="shared" si="33"/>
        <v>44770</v>
      </c>
      <c r="F766">
        <f t="shared" si="34"/>
        <v>7</v>
      </c>
      <c r="G766" s="4">
        <f t="shared" si="35"/>
        <v>3.8166666682809591</v>
      </c>
      <c r="H766">
        <f>IF(COUNTIFS(B$2:B766,B766,E$2:E766,E766)=1,1,0)</f>
        <v>0</v>
      </c>
      <c r="I766">
        <f>IF(COUNTIFS(B$2:B766,B766,F$2:F766,F766)=1,1,0)</f>
        <v>0</v>
      </c>
    </row>
    <row r="767" spans="1:9" x14ac:dyDescent="0.3">
      <c r="A767">
        <v>777</v>
      </c>
      <c r="B767">
        <v>74</v>
      </c>
      <c r="C767" s="2">
        <v>44771.132349537038</v>
      </c>
      <c r="D767" s="2">
        <v>44771.14267361111</v>
      </c>
      <c r="E767" s="3">
        <f t="shared" si="33"/>
        <v>44771</v>
      </c>
      <c r="F767">
        <f t="shared" si="34"/>
        <v>7</v>
      </c>
      <c r="G767" s="4">
        <f t="shared" si="35"/>
        <v>14.866666663438082</v>
      </c>
      <c r="H767">
        <f>IF(COUNTIFS(B$2:B767,B767,E$2:E767,E767)=1,1,0)</f>
        <v>1</v>
      </c>
      <c r="I767">
        <f>IF(COUNTIFS(B$2:B767,B767,F$2:F767,F767)=1,1,0)</f>
        <v>0</v>
      </c>
    </row>
    <row r="768" spans="1:9" x14ac:dyDescent="0.3">
      <c r="A768">
        <v>778</v>
      </c>
      <c r="B768">
        <v>74</v>
      </c>
      <c r="C768" s="2">
        <v>44771.227141203701</v>
      </c>
      <c r="D768" s="2">
        <v>44771.233912037038</v>
      </c>
      <c r="E768" s="3">
        <f t="shared" si="33"/>
        <v>44771</v>
      </c>
      <c r="F768">
        <f t="shared" si="34"/>
        <v>7</v>
      </c>
      <c r="G768" s="4">
        <f t="shared" si="35"/>
        <v>9.7500000055879354</v>
      </c>
      <c r="H768">
        <f>IF(COUNTIFS(B$2:B768,B768,E$2:E768,E768)=1,1,0)</f>
        <v>0</v>
      </c>
      <c r="I768">
        <f>IF(COUNTIFS(B$2:B768,B768,F$2:F768,F768)=1,1,0)</f>
        <v>0</v>
      </c>
    </row>
    <row r="769" spans="1:9" x14ac:dyDescent="0.3">
      <c r="A769">
        <v>779</v>
      </c>
      <c r="B769">
        <v>74</v>
      </c>
      <c r="C769" s="2">
        <v>44771.330555555556</v>
      </c>
      <c r="D769" s="2">
        <v>44771.333969907406</v>
      </c>
      <c r="E769" s="3">
        <f t="shared" si="33"/>
        <v>44771</v>
      </c>
      <c r="F769">
        <f t="shared" si="34"/>
        <v>7</v>
      </c>
      <c r="G769" s="4">
        <f t="shared" si="35"/>
        <v>4.9166666634846479</v>
      </c>
      <c r="H769">
        <f>IF(COUNTIFS(B$2:B769,B769,E$2:E769,E769)=1,1,0)</f>
        <v>0</v>
      </c>
      <c r="I769">
        <f>IF(COUNTIFS(B$2:B769,B769,F$2:F769,F769)=1,1,0)</f>
        <v>0</v>
      </c>
    </row>
    <row r="770" spans="1:9" x14ac:dyDescent="0.3">
      <c r="A770">
        <v>780</v>
      </c>
      <c r="B770">
        <v>74</v>
      </c>
      <c r="C770" s="2">
        <v>44771.410069444442</v>
      </c>
      <c r="D770" s="2">
        <v>44771.41710648148</v>
      </c>
      <c r="E770" s="3">
        <f t="shared" ref="E770:E833" si="36">INT(C770)</f>
        <v>44771</v>
      </c>
      <c r="F770">
        <f t="shared" ref="F770:F833" si="37">MONTH(C770)</f>
        <v>7</v>
      </c>
      <c r="G770" s="4">
        <f t="shared" ref="G770:G833" si="38">(D770-C770)*1440</f>
        <v>10.133333334233612</v>
      </c>
      <c r="H770">
        <f>IF(COUNTIFS(B$2:B770,B770,E$2:E770,E770)=1,1,0)</f>
        <v>0</v>
      </c>
      <c r="I770">
        <f>IF(COUNTIFS(B$2:B770,B770,F$2:F770,F770)=1,1,0)</f>
        <v>0</v>
      </c>
    </row>
    <row r="771" spans="1:9" x14ac:dyDescent="0.3">
      <c r="A771">
        <v>781</v>
      </c>
      <c r="B771">
        <v>74</v>
      </c>
      <c r="C771" s="2">
        <v>44771.680914351855</v>
      </c>
      <c r="D771" s="2">
        <v>44771.691342592596</v>
      </c>
      <c r="E771" s="3">
        <f t="shared" si="36"/>
        <v>44771</v>
      </c>
      <c r="F771">
        <f t="shared" si="37"/>
        <v>7</v>
      </c>
      <c r="G771" s="4">
        <f t="shared" si="38"/>
        <v>15.01666666707024</v>
      </c>
      <c r="H771">
        <f>IF(COUNTIFS(B$2:B771,B771,E$2:E771,E771)=1,1,0)</f>
        <v>0</v>
      </c>
      <c r="I771">
        <f>IF(COUNTIFS(B$2:B771,B771,F$2:F771,F771)=1,1,0)</f>
        <v>0</v>
      </c>
    </row>
    <row r="772" spans="1:9" x14ac:dyDescent="0.3">
      <c r="A772">
        <v>782</v>
      </c>
      <c r="B772">
        <v>74</v>
      </c>
      <c r="C772" s="2">
        <v>44771.852592592593</v>
      </c>
      <c r="D772" s="2">
        <v>44771.860092592593</v>
      </c>
      <c r="E772" s="3">
        <f t="shared" si="36"/>
        <v>44771</v>
      </c>
      <c r="F772">
        <f t="shared" si="37"/>
        <v>7</v>
      </c>
      <c r="G772" s="4">
        <f t="shared" si="38"/>
        <v>10.799999999580905</v>
      </c>
      <c r="H772">
        <f>IF(COUNTIFS(B$2:B772,B772,E$2:E772,E772)=1,1,0)</f>
        <v>0</v>
      </c>
      <c r="I772">
        <f>IF(COUNTIFS(B$2:B772,B772,F$2:F772,F772)=1,1,0)</f>
        <v>0</v>
      </c>
    </row>
    <row r="773" spans="1:9" x14ac:dyDescent="0.3">
      <c r="A773">
        <v>783</v>
      </c>
      <c r="B773">
        <v>74</v>
      </c>
      <c r="C773" s="2">
        <v>44772.014976851853</v>
      </c>
      <c r="D773" s="2">
        <v>44772.017384259256</v>
      </c>
      <c r="E773" s="3">
        <f t="shared" si="36"/>
        <v>44772</v>
      </c>
      <c r="F773">
        <f t="shared" si="37"/>
        <v>7</v>
      </c>
      <c r="G773" s="4">
        <f t="shared" si="38"/>
        <v>3.4666666598059237</v>
      </c>
      <c r="H773">
        <f>IF(COUNTIFS(B$2:B773,B773,E$2:E773,E773)=1,1,0)</f>
        <v>1</v>
      </c>
      <c r="I773">
        <f>IF(COUNTIFS(B$2:B773,B773,F$2:F773,F773)=1,1,0)</f>
        <v>0</v>
      </c>
    </row>
    <row r="774" spans="1:9" x14ac:dyDescent="0.3">
      <c r="A774">
        <v>784</v>
      </c>
      <c r="B774">
        <v>74</v>
      </c>
      <c r="C774" s="2">
        <v>44772.119421296295</v>
      </c>
      <c r="D774" s="2">
        <v>44772.126226851855</v>
      </c>
      <c r="E774" s="3">
        <f t="shared" si="36"/>
        <v>44772</v>
      </c>
      <c r="F774">
        <f t="shared" si="37"/>
        <v>7</v>
      </c>
      <c r="G774" s="4">
        <f t="shared" si="38"/>
        <v>9.8000000067986548</v>
      </c>
      <c r="H774">
        <f>IF(COUNTIFS(B$2:B774,B774,E$2:E774,E774)=1,1,0)</f>
        <v>0</v>
      </c>
      <c r="I774">
        <f>IF(COUNTIFS(B$2:B774,B774,F$2:F774,F774)=1,1,0)</f>
        <v>0</v>
      </c>
    </row>
    <row r="775" spans="1:9" x14ac:dyDescent="0.3">
      <c r="A775">
        <v>785</v>
      </c>
      <c r="B775">
        <v>74</v>
      </c>
      <c r="C775" s="2">
        <v>44772.383414351854</v>
      </c>
      <c r="D775" s="2">
        <v>44772.389664351853</v>
      </c>
      <c r="E775" s="3">
        <f t="shared" si="36"/>
        <v>44772</v>
      </c>
      <c r="F775">
        <f t="shared" si="37"/>
        <v>7</v>
      </c>
      <c r="G775" s="4">
        <f t="shared" si="38"/>
        <v>8.9999999979045242</v>
      </c>
      <c r="H775">
        <f>IF(COUNTIFS(B$2:B775,B775,E$2:E775,E775)=1,1,0)</f>
        <v>0</v>
      </c>
      <c r="I775">
        <f>IF(COUNTIFS(B$2:B775,B775,F$2:F775,F775)=1,1,0)</f>
        <v>0</v>
      </c>
    </row>
    <row r="776" spans="1:9" x14ac:dyDescent="0.3">
      <c r="A776">
        <v>786</v>
      </c>
      <c r="B776">
        <v>74</v>
      </c>
      <c r="C776" s="2">
        <v>44772.5621875</v>
      </c>
      <c r="D776" s="2">
        <v>44772.568055555559</v>
      </c>
      <c r="E776" s="3">
        <f t="shared" si="36"/>
        <v>44772</v>
      </c>
      <c r="F776">
        <f t="shared" si="37"/>
        <v>7</v>
      </c>
      <c r="G776" s="4">
        <f t="shared" si="38"/>
        <v>8.4500000055413693</v>
      </c>
      <c r="H776">
        <f>IF(COUNTIFS(B$2:B776,B776,E$2:E776,E776)=1,1,0)</f>
        <v>0</v>
      </c>
      <c r="I776">
        <f>IF(COUNTIFS(B$2:B776,B776,F$2:F776,F776)=1,1,0)</f>
        <v>0</v>
      </c>
    </row>
    <row r="777" spans="1:9" x14ac:dyDescent="0.3">
      <c r="A777">
        <v>787</v>
      </c>
      <c r="B777">
        <v>74</v>
      </c>
      <c r="C777" s="2">
        <v>44772.77925925926</v>
      </c>
      <c r="D777" s="2">
        <v>44772.786064814813</v>
      </c>
      <c r="E777" s="3">
        <f t="shared" si="36"/>
        <v>44772</v>
      </c>
      <c r="F777">
        <f t="shared" si="37"/>
        <v>7</v>
      </c>
      <c r="G777" s="4">
        <f t="shared" si="38"/>
        <v>9.7999999963212758</v>
      </c>
      <c r="H777">
        <f>IF(COUNTIFS(B$2:B777,B777,E$2:E777,E777)=1,1,0)</f>
        <v>0</v>
      </c>
      <c r="I777">
        <f>IF(COUNTIFS(B$2:B777,B777,F$2:F777,F777)=1,1,0)</f>
        <v>0</v>
      </c>
    </row>
    <row r="778" spans="1:9" x14ac:dyDescent="0.3">
      <c r="A778">
        <v>788</v>
      </c>
      <c r="B778">
        <v>74</v>
      </c>
      <c r="C778" s="2">
        <v>44772.890196759261</v>
      </c>
      <c r="D778" s="2">
        <v>44772.901435185187</v>
      </c>
      <c r="E778" s="3">
        <f t="shared" si="36"/>
        <v>44772</v>
      </c>
      <c r="F778">
        <f t="shared" si="37"/>
        <v>7</v>
      </c>
      <c r="G778" s="4">
        <f t="shared" si="38"/>
        <v>16.183333334047347</v>
      </c>
      <c r="H778">
        <f>IF(COUNTIFS(B$2:B778,B778,E$2:E778,E778)=1,1,0)</f>
        <v>0</v>
      </c>
      <c r="I778">
        <f>IF(COUNTIFS(B$2:B778,B778,F$2:F778,F778)=1,1,0)</f>
        <v>0</v>
      </c>
    </row>
    <row r="779" spans="1:9" x14ac:dyDescent="0.3">
      <c r="A779">
        <v>789</v>
      </c>
      <c r="B779">
        <v>74</v>
      </c>
      <c r="C779" s="2">
        <v>44772.942106481481</v>
      </c>
      <c r="D779" s="2">
        <v>44772.952673611115</v>
      </c>
      <c r="E779" s="3">
        <f t="shared" si="36"/>
        <v>44772</v>
      </c>
      <c r="F779">
        <f t="shared" si="37"/>
        <v>7</v>
      </c>
      <c r="G779" s="4">
        <f t="shared" si="38"/>
        <v>15.216666671913117</v>
      </c>
      <c r="H779">
        <f>IF(COUNTIFS(B$2:B779,B779,E$2:E779,E779)=1,1,0)</f>
        <v>0</v>
      </c>
      <c r="I779">
        <f>IF(COUNTIFS(B$2:B779,B779,F$2:F779,F779)=1,1,0)</f>
        <v>0</v>
      </c>
    </row>
    <row r="780" spans="1:9" x14ac:dyDescent="0.3">
      <c r="A780">
        <v>790</v>
      </c>
      <c r="B780">
        <v>74</v>
      </c>
      <c r="C780" s="2">
        <v>44773.149895833332</v>
      </c>
      <c r="D780" s="2">
        <v>44773.156944444447</v>
      </c>
      <c r="E780" s="3">
        <f t="shared" si="36"/>
        <v>44773</v>
      </c>
      <c r="F780">
        <f t="shared" si="37"/>
        <v>7</v>
      </c>
      <c r="G780" s="4">
        <f t="shared" si="38"/>
        <v>10.150000004796311</v>
      </c>
      <c r="H780">
        <f>IF(COUNTIFS(B$2:B780,B780,E$2:E780,E780)=1,1,0)</f>
        <v>1</v>
      </c>
      <c r="I780">
        <f>IF(COUNTIFS(B$2:B780,B780,F$2:F780,F780)=1,1,0)</f>
        <v>0</v>
      </c>
    </row>
    <row r="781" spans="1:9" x14ac:dyDescent="0.3">
      <c r="A781">
        <v>791</v>
      </c>
      <c r="B781">
        <v>74</v>
      </c>
      <c r="C781" s="2">
        <v>44773.388981481483</v>
      </c>
      <c r="D781" s="2">
        <v>44773.396921296298</v>
      </c>
      <c r="E781" s="3">
        <f t="shared" si="36"/>
        <v>44773</v>
      </c>
      <c r="F781">
        <f t="shared" si="37"/>
        <v>7</v>
      </c>
      <c r="G781" s="4">
        <f t="shared" si="38"/>
        <v>11.433333334280178</v>
      </c>
      <c r="H781">
        <f>IF(COUNTIFS(B$2:B781,B781,E$2:E781,E781)=1,1,0)</f>
        <v>0</v>
      </c>
      <c r="I781">
        <f>IF(COUNTIFS(B$2:B781,B781,F$2:F781,F781)=1,1,0)</f>
        <v>0</v>
      </c>
    </row>
    <row r="782" spans="1:9" x14ac:dyDescent="0.3">
      <c r="A782">
        <v>792</v>
      </c>
      <c r="B782">
        <v>74</v>
      </c>
      <c r="C782" s="2">
        <v>44773.515219907407</v>
      </c>
      <c r="D782" s="2">
        <v>44773.520694444444</v>
      </c>
      <c r="E782" s="3">
        <f t="shared" si="36"/>
        <v>44773</v>
      </c>
      <c r="F782">
        <f t="shared" si="37"/>
        <v>7</v>
      </c>
      <c r="G782" s="4">
        <f t="shared" si="38"/>
        <v>7.883333332138136</v>
      </c>
      <c r="H782">
        <f>IF(COUNTIFS(B$2:B782,B782,E$2:E782,E782)=1,1,0)</f>
        <v>0</v>
      </c>
      <c r="I782">
        <f>IF(COUNTIFS(B$2:B782,B782,F$2:F782,F782)=1,1,0)</f>
        <v>0</v>
      </c>
    </row>
    <row r="783" spans="1:9" x14ac:dyDescent="0.3">
      <c r="A783">
        <v>793</v>
      </c>
      <c r="B783">
        <v>74</v>
      </c>
      <c r="C783" s="2">
        <v>44773.864664351851</v>
      </c>
      <c r="D783" s="2">
        <v>44773.87259259259</v>
      </c>
      <c r="E783" s="3">
        <f t="shared" si="36"/>
        <v>44773</v>
      </c>
      <c r="F783">
        <f t="shared" si="37"/>
        <v>7</v>
      </c>
      <c r="G783" s="4">
        <f t="shared" si="38"/>
        <v>11.416666663717479</v>
      </c>
      <c r="H783">
        <f>IF(COUNTIFS(B$2:B783,B783,E$2:E783,E783)=1,1,0)</f>
        <v>0</v>
      </c>
      <c r="I783">
        <f>IF(COUNTIFS(B$2:B783,B783,F$2:F783,F783)=1,1,0)</f>
        <v>0</v>
      </c>
    </row>
    <row r="784" spans="1:9" x14ac:dyDescent="0.3">
      <c r="A784">
        <v>794</v>
      </c>
      <c r="B784">
        <v>74</v>
      </c>
      <c r="C784" s="2">
        <v>44773.907650462963</v>
      </c>
      <c r="D784" s="2">
        <v>44773.918240740742</v>
      </c>
      <c r="E784" s="3">
        <f t="shared" si="36"/>
        <v>44773</v>
      </c>
      <c r="F784">
        <f t="shared" si="37"/>
        <v>7</v>
      </c>
      <c r="G784" s="4">
        <f t="shared" si="38"/>
        <v>15.250000002561137</v>
      </c>
      <c r="H784">
        <f>IF(COUNTIFS(B$2:B784,B784,E$2:E784,E784)=1,1,0)</f>
        <v>0</v>
      </c>
      <c r="I784">
        <f>IF(COUNTIFS(B$2:B784,B784,F$2:F784,F784)=1,1,0)</f>
        <v>0</v>
      </c>
    </row>
    <row r="785" spans="1:9" x14ac:dyDescent="0.3">
      <c r="A785">
        <v>795</v>
      </c>
      <c r="B785">
        <v>74</v>
      </c>
      <c r="C785" s="2">
        <v>44774.200879629629</v>
      </c>
      <c r="D785" s="2">
        <v>44774.204224537039</v>
      </c>
      <c r="E785" s="3">
        <f t="shared" si="36"/>
        <v>44774</v>
      </c>
      <c r="F785">
        <f t="shared" si="37"/>
        <v>8</v>
      </c>
      <c r="G785" s="4">
        <f t="shared" si="38"/>
        <v>4.8166666715405881</v>
      </c>
      <c r="H785">
        <f>IF(COUNTIFS(B$2:B785,B785,E$2:E785,E785)=1,1,0)</f>
        <v>1</v>
      </c>
      <c r="I785">
        <f>IF(COUNTIFS(B$2:B785,B785,F$2:F785,F785)=1,1,0)</f>
        <v>1</v>
      </c>
    </row>
    <row r="786" spans="1:9" x14ac:dyDescent="0.3">
      <c r="A786">
        <v>796</v>
      </c>
      <c r="B786">
        <v>74</v>
      </c>
      <c r="C786" s="2">
        <v>44774.444849537038</v>
      </c>
      <c r="D786" s="2">
        <v>44774.448888888888</v>
      </c>
      <c r="E786" s="3">
        <f t="shared" si="36"/>
        <v>44774</v>
      </c>
      <c r="F786">
        <f t="shared" si="37"/>
        <v>8</v>
      </c>
      <c r="G786" s="4">
        <f t="shared" si="38"/>
        <v>5.8166666643228382</v>
      </c>
      <c r="H786">
        <f>IF(COUNTIFS(B$2:B786,B786,E$2:E786,E786)=1,1,0)</f>
        <v>0</v>
      </c>
      <c r="I786">
        <f>IF(COUNTIFS(B$2:B786,B786,F$2:F786,F786)=1,1,0)</f>
        <v>0</v>
      </c>
    </row>
    <row r="787" spans="1:9" x14ac:dyDescent="0.3">
      <c r="A787">
        <v>797</v>
      </c>
      <c r="B787">
        <v>74</v>
      </c>
      <c r="C787" s="2">
        <v>44774.702685185184</v>
      </c>
      <c r="D787" s="2">
        <v>44774.705000000002</v>
      </c>
      <c r="E787" s="3">
        <f t="shared" si="36"/>
        <v>44774</v>
      </c>
      <c r="F787">
        <f t="shared" si="37"/>
        <v>8</v>
      </c>
      <c r="G787" s="4">
        <f t="shared" si="38"/>
        <v>3.3333333372138441</v>
      </c>
      <c r="H787">
        <f>IF(COUNTIFS(B$2:B787,B787,E$2:E787,E787)=1,1,0)</f>
        <v>0</v>
      </c>
      <c r="I787">
        <f>IF(COUNTIFS(B$2:B787,B787,F$2:F787,F787)=1,1,0)</f>
        <v>0</v>
      </c>
    </row>
    <row r="788" spans="1:9" x14ac:dyDescent="0.3">
      <c r="A788">
        <v>798</v>
      </c>
      <c r="B788">
        <v>74</v>
      </c>
      <c r="C788" s="2">
        <v>44775.046342592592</v>
      </c>
      <c r="D788" s="2">
        <v>44775.053726851853</v>
      </c>
      <c r="E788" s="3">
        <f t="shared" si="36"/>
        <v>44775</v>
      </c>
      <c r="F788">
        <f t="shared" si="37"/>
        <v>8</v>
      </c>
      <c r="G788" s="4">
        <f t="shared" si="38"/>
        <v>10.633333335863426</v>
      </c>
      <c r="H788">
        <f>IF(COUNTIFS(B$2:B788,B788,E$2:E788,E788)=1,1,0)</f>
        <v>1</v>
      </c>
      <c r="I788">
        <f>IF(COUNTIFS(B$2:B788,B788,F$2:F788,F788)=1,1,0)</f>
        <v>0</v>
      </c>
    </row>
    <row r="789" spans="1:9" x14ac:dyDescent="0.3">
      <c r="A789">
        <v>799</v>
      </c>
      <c r="B789">
        <v>74</v>
      </c>
      <c r="C789" s="2">
        <v>44775.362557870372</v>
      </c>
      <c r="D789" s="2">
        <v>44775.369155092594</v>
      </c>
      <c r="E789" s="3">
        <f t="shared" si="36"/>
        <v>44775</v>
      </c>
      <c r="F789">
        <f t="shared" si="37"/>
        <v>8</v>
      </c>
      <c r="G789" s="4">
        <f t="shared" si="38"/>
        <v>9.4999999995343387</v>
      </c>
      <c r="H789">
        <f>IF(COUNTIFS(B$2:B789,B789,E$2:E789,E789)=1,1,0)</f>
        <v>0</v>
      </c>
      <c r="I789">
        <f>IF(COUNTIFS(B$2:B789,B789,F$2:F789,F789)=1,1,0)</f>
        <v>0</v>
      </c>
    </row>
    <row r="790" spans="1:9" x14ac:dyDescent="0.3">
      <c r="A790">
        <v>800</v>
      </c>
      <c r="B790">
        <v>74</v>
      </c>
      <c r="C790" s="2">
        <v>44775.694247685184</v>
      </c>
      <c r="D790" s="2">
        <v>44775.700370370374</v>
      </c>
      <c r="E790" s="3">
        <f t="shared" si="36"/>
        <v>44775</v>
      </c>
      <c r="F790">
        <f t="shared" si="37"/>
        <v>8</v>
      </c>
      <c r="G790" s="4">
        <f t="shared" si="38"/>
        <v>8.8166666741017252</v>
      </c>
      <c r="H790">
        <f>IF(COUNTIFS(B$2:B790,B790,E$2:E790,E790)=1,1,0)</f>
        <v>0</v>
      </c>
      <c r="I790">
        <f>IF(COUNTIFS(B$2:B790,B790,F$2:F790,F790)=1,1,0)</f>
        <v>0</v>
      </c>
    </row>
    <row r="791" spans="1:9" x14ac:dyDescent="0.3">
      <c r="A791">
        <v>801</v>
      </c>
      <c r="B791">
        <v>74</v>
      </c>
      <c r="C791" s="2">
        <v>44775.926990740743</v>
      </c>
      <c r="D791" s="2">
        <v>44775.936365740738</v>
      </c>
      <c r="E791" s="3">
        <f t="shared" si="36"/>
        <v>44775</v>
      </c>
      <c r="F791">
        <f t="shared" si="37"/>
        <v>8</v>
      </c>
      <c r="G791" s="4">
        <f t="shared" si="38"/>
        <v>13.499999991618097</v>
      </c>
      <c r="H791">
        <f>IF(COUNTIFS(B$2:B791,B791,E$2:E791,E791)=1,1,0)</f>
        <v>0</v>
      </c>
      <c r="I791">
        <f>IF(COUNTIFS(B$2:B791,B791,F$2:F791,F791)=1,1,0)</f>
        <v>0</v>
      </c>
    </row>
    <row r="792" spans="1:9" x14ac:dyDescent="0.3">
      <c r="A792">
        <v>802</v>
      </c>
      <c r="B792">
        <v>74</v>
      </c>
      <c r="C792" s="2">
        <v>44776.245752314811</v>
      </c>
      <c r="D792" s="2">
        <v>44776.252604166664</v>
      </c>
      <c r="E792" s="3">
        <f t="shared" si="36"/>
        <v>44776</v>
      </c>
      <c r="F792">
        <f t="shared" si="37"/>
        <v>8</v>
      </c>
      <c r="G792" s="4">
        <f t="shared" si="38"/>
        <v>9.8666666680946946</v>
      </c>
      <c r="H792">
        <f>IF(COUNTIFS(B$2:B792,B792,E$2:E792,E792)=1,1,0)</f>
        <v>1</v>
      </c>
      <c r="I792">
        <f>IF(COUNTIFS(B$2:B792,B792,F$2:F792,F792)=1,1,0)</f>
        <v>0</v>
      </c>
    </row>
    <row r="793" spans="1:9" x14ac:dyDescent="0.3">
      <c r="A793">
        <v>803</v>
      </c>
      <c r="B793">
        <v>74</v>
      </c>
      <c r="C793" s="2">
        <v>44776.459548611114</v>
      </c>
      <c r="D793" s="2">
        <v>44776.467719907407</v>
      </c>
      <c r="E793" s="3">
        <f t="shared" si="36"/>
        <v>44776</v>
      </c>
      <c r="F793">
        <f t="shared" si="37"/>
        <v>8</v>
      </c>
      <c r="G793" s="4">
        <f t="shared" si="38"/>
        <v>11.766666661715135</v>
      </c>
      <c r="H793">
        <f>IF(COUNTIFS(B$2:B793,B793,E$2:E793,E793)=1,1,0)</f>
        <v>0</v>
      </c>
      <c r="I793">
        <f>IF(COUNTIFS(B$2:B793,B793,F$2:F793,F793)=1,1,0)</f>
        <v>0</v>
      </c>
    </row>
    <row r="794" spans="1:9" x14ac:dyDescent="0.3">
      <c r="A794">
        <v>804</v>
      </c>
      <c r="B794">
        <v>74</v>
      </c>
      <c r="C794" s="2">
        <v>44776.812615740739</v>
      </c>
      <c r="D794" s="2">
        <v>44776.822997685187</v>
      </c>
      <c r="E794" s="3">
        <f t="shared" si="36"/>
        <v>44776</v>
      </c>
      <c r="F794">
        <f t="shared" si="37"/>
        <v>8</v>
      </c>
      <c r="G794" s="4">
        <f t="shared" si="38"/>
        <v>14.9500000057742</v>
      </c>
      <c r="H794">
        <f>IF(COUNTIFS(B$2:B794,B794,E$2:E794,E794)=1,1,0)</f>
        <v>0</v>
      </c>
      <c r="I794">
        <f>IF(COUNTIFS(B$2:B794,B794,F$2:F794,F794)=1,1,0)</f>
        <v>0</v>
      </c>
    </row>
    <row r="795" spans="1:9" x14ac:dyDescent="0.3">
      <c r="A795">
        <v>805</v>
      </c>
      <c r="B795">
        <v>74</v>
      </c>
      <c r="C795" s="2">
        <v>44776.860856481479</v>
      </c>
      <c r="D795" s="2">
        <v>44776.866574074076</v>
      </c>
      <c r="E795" s="3">
        <f t="shared" si="36"/>
        <v>44776</v>
      </c>
      <c r="F795">
        <f t="shared" si="37"/>
        <v>8</v>
      </c>
      <c r="G795" s="4">
        <f t="shared" si="38"/>
        <v>8.2333333406131715</v>
      </c>
      <c r="H795">
        <f>IF(COUNTIFS(B$2:B795,B795,E$2:E795,E795)=1,1,0)</f>
        <v>0</v>
      </c>
      <c r="I795">
        <f>IF(COUNTIFS(B$2:B795,B795,F$2:F795,F795)=1,1,0)</f>
        <v>0</v>
      </c>
    </row>
    <row r="796" spans="1:9" x14ac:dyDescent="0.3">
      <c r="A796">
        <v>806</v>
      </c>
      <c r="B796">
        <v>74</v>
      </c>
      <c r="C796" s="2">
        <v>44777.188518518517</v>
      </c>
      <c r="D796" s="2">
        <v>44777.192928240744</v>
      </c>
      <c r="E796" s="3">
        <f t="shared" si="36"/>
        <v>44777</v>
      </c>
      <c r="F796">
        <f t="shared" si="37"/>
        <v>8</v>
      </c>
      <c r="G796" s="4">
        <f t="shared" si="38"/>
        <v>6.3500000070780516</v>
      </c>
      <c r="H796">
        <f>IF(COUNTIFS(B$2:B796,B796,E$2:E796,E796)=1,1,0)</f>
        <v>1</v>
      </c>
      <c r="I796">
        <f>IF(COUNTIFS(B$2:B796,B796,F$2:F796,F796)=1,1,0)</f>
        <v>0</v>
      </c>
    </row>
    <row r="797" spans="1:9" x14ac:dyDescent="0.3">
      <c r="A797">
        <v>807</v>
      </c>
      <c r="B797">
        <v>74</v>
      </c>
      <c r="C797" s="2">
        <v>44777.48064814815</v>
      </c>
      <c r="D797" s="2">
        <v>44777.487430555557</v>
      </c>
      <c r="E797" s="3">
        <f t="shared" si="36"/>
        <v>44777</v>
      </c>
      <c r="F797">
        <f t="shared" si="37"/>
        <v>8</v>
      </c>
      <c r="G797" s="4">
        <f t="shared" si="38"/>
        <v>9.7666666656732559</v>
      </c>
      <c r="H797">
        <f>IF(COUNTIFS(B$2:B797,B797,E$2:E797,E797)=1,1,0)</f>
        <v>0</v>
      </c>
      <c r="I797">
        <f>IF(COUNTIFS(B$2:B797,B797,F$2:F797,F797)=1,1,0)</f>
        <v>0</v>
      </c>
    </row>
    <row r="798" spans="1:9" x14ac:dyDescent="0.3">
      <c r="A798">
        <v>808</v>
      </c>
      <c r="B798">
        <v>75</v>
      </c>
      <c r="C798" s="2">
        <v>44674.904953703706</v>
      </c>
      <c r="D798" s="2">
        <v>44674.910891203705</v>
      </c>
      <c r="E798" s="3">
        <f t="shared" si="36"/>
        <v>44674</v>
      </c>
      <c r="F798">
        <f t="shared" si="37"/>
        <v>4</v>
      </c>
      <c r="G798" s="4">
        <f t="shared" si="38"/>
        <v>8.549999997485429</v>
      </c>
      <c r="H798">
        <f>IF(COUNTIFS(B$2:B798,B798,E$2:E798,E798)=1,1,0)</f>
        <v>1</v>
      </c>
      <c r="I798">
        <f>IF(COUNTIFS(B$2:B798,B798,F$2:F798,F798)=1,1,0)</f>
        <v>1</v>
      </c>
    </row>
    <row r="799" spans="1:9" x14ac:dyDescent="0.3">
      <c r="A799">
        <v>809</v>
      </c>
      <c r="B799">
        <v>76</v>
      </c>
      <c r="C799" s="2">
        <v>44906.959803240738</v>
      </c>
      <c r="D799" s="2">
        <v>44906.9684837963</v>
      </c>
      <c r="E799" s="3">
        <f t="shared" si="36"/>
        <v>44906</v>
      </c>
      <c r="F799">
        <f t="shared" si="37"/>
        <v>12</v>
      </c>
      <c r="G799" s="4">
        <f t="shared" si="38"/>
        <v>12.500000009313226</v>
      </c>
      <c r="H799">
        <f>IF(COUNTIFS(B$2:B799,B799,E$2:E799,E799)=1,1,0)</f>
        <v>1</v>
      </c>
      <c r="I799">
        <f>IF(COUNTIFS(B$2:B799,B799,F$2:F799,F799)=1,1,0)</f>
        <v>1</v>
      </c>
    </row>
    <row r="800" spans="1:9" x14ac:dyDescent="0.3">
      <c r="A800">
        <v>810</v>
      </c>
      <c r="B800">
        <v>76</v>
      </c>
      <c r="C800" s="2">
        <v>44907.240486111114</v>
      </c>
      <c r="D800" s="2">
        <v>44907.242881944447</v>
      </c>
      <c r="E800" s="3">
        <f t="shared" si="36"/>
        <v>44907</v>
      </c>
      <c r="F800">
        <f t="shared" si="37"/>
        <v>12</v>
      </c>
      <c r="G800" s="4">
        <f t="shared" si="38"/>
        <v>3.4499999997206032</v>
      </c>
      <c r="H800">
        <f>IF(COUNTIFS(B$2:B800,B800,E$2:E800,E800)=1,1,0)</f>
        <v>1</v>
      </c>
      <c r="I800">
        <f>IF(COUNTIFS(B$2:B800,B800,F$2:F800,F800)=1,1,0)</f>
        <v>0</v>
      </c>
    </row>
    <row r="801" spans="1:9" x14ac:dyDescent="0.3">
      <c r="A801">
        <v>811</v>
      </c>
      <c r="B801">
        <v>76</v>
      </c>
      <c r="C801" s="2">
        <v>44907.377129629633</v>
      </c>
      <c r="D801" s="2">
        <v>44907.383958333332</v>
      </c>
      <c r="E801" s="3">
        <f t="shared" si="36"/>
        <v>44907</v>
      </c>
      <c r="F801">
        <f t="shared" si="37"/>
        <v>12</v>
      </c>
      <c r="G801" s="4">
        <f t="shared" si="38"/>
        <v>9.8333333269692957</v>
      </c>
      <c r="H801">
        <f>IF(COUNTIFS(B$2:B801,B801,E$2:E801,E801)=1,1,0)</f>
        <v>0</v>
      </c>
      <c r="I801">
        <f>IF(COUNTIFS(B$2:B801,B801,F$2:F801,F801)=1,1,0)</f>
        <v>0</v>
      </c>
    </row>
    <row r="802" spans="1:9" x14ac:dyDescent="0.3">
      <c r="A802">
        <v>812</v>
      </c>
      <c r="B802">
        <v>76</v>
      </c>
      <c r="C802" s="2">
        <v>44907.698784722219</v>
      </c>
      <c r="D802" s="2">
        <v>44907.710277777776</v>
      </c>
      <c r="E802" s="3">
        <f t="shared" si="36"/>
        <v>44907</v>
      </c>
      <c r="F802">
        <f t="shared" si="37"/>
        <v>12</v>
      </c>
      <c r="G802" s="4">
        <f t="shared" si="38"/>
        <v>16.550000002607703</v>
      </c>
      <c r="H802">
        <f>IF(COUNTIFS(B$2:B802,B802,E$2:E802,E802)=1,1,0)</f>
        <v>0</v>
      </c>
      <c r="I802">
        <f>IF(COUNTIFS(B$2:B802,B802,F$2:F802,F802)=1,1,0)</f>
        <v>0</v>
      </c>
    </row>
    <row r="803" spans="1:9" x14ac:dyDescent="0.3">
      <c r="A803">
        <v>813</v>
      </c>
      <c r="B803">
        <v>76</v>
      </c>
      <c r="C803" s="2">
        <v>44907.93074074074</v>
      </c>
      <c r="D803" s="2">
        <v>44907.936932870369</v>
      </c>
      <c r="E803" s="3">
        <f t="shared" si="36"/>
        <v>44907</v>
      </c>
      <c r="F803">
        <f t="shared" si="37"/>
        <v>12</v>
      </c>
      <c r="G803" s="4">
        <f t="shared" si="38"/>
        <v>8.916666666045785</v>
      </c>
      <c r="H803">
        <f>IF(COUNTIFS(B$2:B803,B803,E$2:E803,E803)=1,1,0)</f>
        <v>0</v>
      </c>
      <c r="I803">
        <f>IF(COUNTIFS(B$2:B803,B803,F$2:F803,F803)=1,1,0)</f>
        <v>0</v>
      </c>
    </row>
    <row r="804" spans="1:9" x14ac:dyDescent="0.3">
      <c r="A804">
        <v>814</v>
      </c>
      <c r="B804">
        <v>76</v>
      </c>
      <c r="C804" s="2">
        <v>44908.232303240744</v>
      </c>
      <c r="D804" s="2">
        <v>44908.236886574072</v>
      </c>
      <c r="E804" s="3">
        <f t="shared" si="36"/>
        <v>44908</v>
      </c>
      <c r="F804">
        <f t="shared" si="37"/>
        <v>12</v>
      </c>
      <c r="G804" s="4">
        <f t="shared" si="38"/>
        <v>6.5999999921768904</v>
      </c>
      <c r="H804">
        <f>IF(COUNTIFS(B$2:B804,B804,E$2:E804,E804)=1,1,0)</f>
        <v>1</v>
      </c>
      <c r="I804">
        <f>IF(COUNTIFS(B$2:B804,B804,F$2:F804,F804)=1,1,0)</f>
        <v>0</v>
      </c>
    </row>
    <row r="805" spans="1:9" x14ac:dyDescent="0.3">
      <c r="A805">
        <v>815</v>
      </c>
      <c r="B805">
        <v>76</v>
      </c>
      <c r="C805" s="2">
        <v>44908.554386574076</v>
      </c>
      <c r="D805" s="2">
        <v>44908.563611111109</v>
      </c>
      <c r="E805" s="3">
        <f t="shared" si="36"/>
        <v>44908</v>
      </c>
      <c r="F805">
        <f t="shared" si="37"/>
        <v>12</v>
      </c>
      <c r="G805" s="4">
        <f t="shared" si="38"/>
        <v>13.283333326689899</v>
      </c>
      <c r="H805">
        <f>IF(COUNTIFS(B$2:B805,B805,E$2:E805,E805)=1,1,0)</f>
        <v>0</v>
      </c>
      <c r="I805">
        <f>IF(COUNTIFS(B$2:B805,B805,F$2:F805,F805)=1,1,0)</f>
        <v>0</v>
      </c>
    </row>
    <row r="806" spans="1:9" x14ac:dyDescent="0.3">
      <c r="A806">
        <v>816</v>
      </c>
      <c r="B806">
        <v>76</v>
      </c>
      <c r="C806" s="2">
        <v>44908.899687500001</v>
      </c>
      <c r="D806" s="2">
        <v>44908.907997685186</v>
      </c>
      <c r="E806" s="3">
        <f t="shared" si="36"/>
        <v>44908</v>
      </c>
      <c r="F806">
        <f t="shared" si="37"/>
        <v>12</v>
      </c>
      <c r="G806" s="4">
        <f t="shared" si="38"/>
        <v>11.966666666558012</v>
      </c>
      <c r="H806">
        <f>IF(COUNTIFS(B$2:B806,B806,E$2:E806,E806)=1,1,0)</f>
        <v>0</v>
      </c>
      <c r="I806">
        <f>IF(COUNTIFS(B$2:B806,B806,F$2:F806,F806)=1,1,0)</f>
        <v>0</v>
      </c>
    </row>
    <row r="807" spans="1:9" x14ac:dyDescent="0.3">
      <c r="A807">
        <v>817</v>
      </c>
      <c r="B807">
        <v>76</v>
      </c>
      <c r="C807" s="2">
        <v>44908.989965277775</v>
      </c>
      <c r="D807" s="2">
        <v>44908.996261574073</v>
      </c>
      <c r="E807" s="3">
        <f t="shared" si="36"/>
        <v>44908</v>
      </c>
      <c r="F807">
        <f t="shared" si="37"/>
        <v>12</v>
      </c>
      <c r="G807" s="4">
        <f t="shared" si="38"/>
        <v>9.066666669677943</v>
      </c>
      <c r="H807">
        <f>IF(COUNTIFS(B$2:B807,B807,E$2:E807,E807)=1,1,0)</f>
        <v>0</v>
      </c>
      <c r="I807">
        <f>IF(COUNTIFS(B$2:B807,B807,F$2:F807,F807)=1,1,0)</f>
        <v>0</v>
      </c>
    </row>
    <row r="808" spans="1:9" x14ac:dyDescent="0.3">
      <c r="A808">
        <v>818</v>
      </c>
      <c r="B808">
        <v>76</v>
      </c>
      <c r="C808" s="2">
        <v>44909.13082175926</v>
      </c>
      <c r="D808" s="2">
        <v>44909.13449074074</v>
      </c>
      <c r="E808" s="3">
        <f t="shared" si="36"/>
        <v>44909</v>
      </c>
      <c r="F808">
        <f t="shared" si="37"/>
        <v>12</v>
      </c>
      <c r="G808" s="4">
        <f t="shared" si="38"/>
        <v>5.2833333320450038</v>
      </c>
      <c r="H808">
        <f>IF(COUNTIFS(B$2:B808,B808,E$2:E808,E808)=1,1,0)</f>
        <v>1</v>
      </c>
      <c r="I808">
        <f>IF(COUNTIFS(B$2:B808,B808,F$2:F808,F808)=1,1,0)</f>
        <v>0</v>
      </c>
    </row>
    <row r="809" spans="1:9" x14ac:dyDescent="0.3">
      <c r="A809">
        <v>819</v>
      </c>
      <c r="B809">
        <v>76</v>
      </c>
      <c r="C809" s="2">
        <v>44909.360613425924</v>
      </c>
      <c r="D809" s="2">
        <v>44909.369039351855</v>
      </c>
      <c r="E809" s="3">
        <f t="shared" si="36"/>
        <v>44909</v>
      </c>
      <c r="F809">
        <f t="shared" si="37"/>
        <v>12</v>
      </c>
      <c r="G809" s="4">
        <f t="shared" si="38"/>
        <v>12.13333334075287</v>
      </c>
      <c r="H809">
        <f>IF(COUNTIFS(B$2:B809,B809,E$2:E809,E809)=1,1,0)</f>
        <v>0</v>
      </c>
      <c r="I809">
        <f>IF(COUNTIFS(B$2:B809,B809,F$2:F809,F809)=1,1,0)</f>
        <v>0</v>
      </c>
    </row>
    <row r="810" spans="1:9" x14ac:dyDescent="0.3">
      <c r="A810">
        <v>820</v>
      </c>
      <c r="B810">
        <v>76</v>
      </c>
      <c r="C810" s="2">
        <v>44909.60496527778</v>
      </c>
      <c r="D810" s="2">
        <v>44909.612372685187</v>
      </c>
      <c r="E810" s="3">
        <f t="shared" si="36"/>
        <v>44909</v>
      </c>
      <c r="F810">
        <f t="shared" si="37"/>
        <v>12</v>
      </c>
      <c r="G810" s="4">
        <f t="shared" si="38"/>
        <v>10.666666666511446</v>
      </c>
      <c r="H810">
        <f>IF(COUNTIFS(B$2:B810,B810,E$2:E810,E810)=1,1,0)</f>
        <v>0</v>
      </c>
      <c r="I810">
        <f>IF(COUNTIFS(B$2:B810,B810,F$2:F810,F810)=1,1,0)</f>
        <v>0</v>
      </c>
    </row>
    <row r="811" spans="1:9" x14ac:dyDescent="0.3">
      <c r="A811">
        <v>821</v>
      </c>
      <c r="B811">
        <v>76</v>
      </c>
      <c r="C811" s="2">
        <v>44909.749502314815</v>
      </c>
      <c r="D811" s="2">
        <v>44909.755682870367</v>
      </c>
      <c r="E811" s="3">
        <f t="shared" si="36"/>
        <v>44909</v>
      </c>
      <c r="F811">
        <f t="shared" si="37"/>
        <v>12</v>
      </c>
      <c r="G811" s="4">
        <f t="shared" si="38"/>
        <v>8.8999999954830855</v>
      </c>
      <c r="H811">
        <f>IF(COUNTIFS(B$2:B811,B811,E$2:E811,E811)=1,1,0)</f>
        <v>0</v>
      </c>
      <c r="I811">
        <f>IF(COUNTIFS(B$2:B811,B811,F$2:F811,F811)=1,1,0)</f>
        <v>0</v>
      </c>
    </row>
    <row r="812" spans="1:9" x14ac:dyDescent="0.3">
      <c r="A812">
        <v>822</v>
      </c>
      <c r="B812">
        <v>76</v>
      </c>
      <c r="C812" s="2">
        <v>44910.028194444443</v>
      </c>
      <c r="D812" s="2">
        <v>44910.03633101852</v>
      </c>
      <c r="E812" s="3">
        <f t="shared" si="36"/>
        <v>44910</v>
      </c>
      <c r="F812">
        <f t="shared" si="37"/>
        <v>12</v>
      </c>
      <c r="G812" s="4">
        <f t="shared" si="38"/>
        <v>11.716666670981795</v>
      </c>
      <c r="H812">
        <f>IF(COUNTIFS(B$2:B812,B812,E$2:E812,E812)=1,1,0)</f>
        <v>1</v>
      </c>
      <c r="I812">
        <f>IF(COUNTIFS(B$2:B812,B812,F$2:F812,F812)=1,1,0)</f>
        <v>0</v>
      </c>
    </row>
    <row r="813" spans="1:9" x14ac:dyDescent="0.3">
      <c r="A813">
        <v>823</v>
      </c>
      <c r="B813">
        <v>76</v>
      </c>
      <c r="C813" s="2">
        <v>44910.116377314815</v>
      </c>
      <c r="D813" s="2">
        <v>44910.125752314816</v>
      </c>
      <c r="E813" s="3">
        <f t="shared" si="36"/>
        <v>44910</v>
      </c>
      <c r="F813">
        <f t="shared" si="37"/>
        <v>12</v>
      </c>
      <c r="G813" s="4">
        <f t="shared" si="38"/>
        <v>13.500000002095476</v>
      </c>
      <c r="H813">
        <f>IF(COUNTIFS(B$2:B813,B813,E$2:E813,E813)=1,1,0)</f>
        <v>0</v>
      </c>
      <c r="I813">
        <f>IF(COUNTIFS(B$2:B813,B813,F$2:F813,F813)=1,1,0)</f>
        <v>0</v>
      </c>
    </row>
    <row r="814" spans="1:9" x14ac:dyDescent="0.3">
      <c r="A814">
        <v>824</v>
      </c>
      <c r="B814">
        <v>76</v>
      </c>
      <c r="C814" s="2">
        <v>44910.255208333336</v>
      </c>
      <c r="D814" s="2">
        <v>44910.256921296299</v>
      </c>
      <c r="E814" s="3">
        <f t="shared" si="36"/>
        <v>44910</v>
      </c>
      <c r="F814">
        <f t="shared" si="37"/>
        <v>12</v>
      </c>
      <c r="G814" s="4">
        <f t="shared" si="38"/>
        <v>2.4666666670236737</v>
      </c>
      <c r="H814">
        <f>IF(COUNTIFS(B$2:B814,B814,E$2:E814,E814)=1,1,0)</f>
        <v>0</v>
      </c>
      <c r="I814">
        <f>IF(COUNTIFS(B$2:B814,B814,F$2:F814,F814)=1,1,0)</f>
        <v>0</v>
      </c>
    </row>
    <row r="815" spans="1:9" x14ac:dyDescent="0.3">
      <c r="A815">
        <v>825</v>
      </c>
      <c r="B815">
        <v>76</v>
      </c>
      <c r="C815" s="2">
        <v>44910.571493055555</v>
      </c>
      <c r="D815" s="2">
        <v>44910.578194444446</v>
      </c>
      <c r="E815" s="3">
        <f t="shared" si="36"/>
        <v>44910</v>
      </c>
      <c r="F815">
        <f t="shared" si="37"/>
        <v>12</v>
      </c>
      <c r="G815" s="4">
        <f t="shared" si="38"/>
        <v>9.6500000031664968</v>
      </c>
      <c r="H815">
        <f>IF(COUNTIFS(B$2:B815,B815,E$2:E815,E815)=1,1,0)</f>
        <v>0</v>
      </c>
      <c r="I815">
        <f>IF(COUNTIFS(B$2:B815,B815,F$2:F815,F815)=1,1,0)</f>
        <v>0</v>
      </c>
    </row>
    <row r="816" spans="1:9" x14ac:dyDescent="0.3">
      <c r="A816">
        <v>826</v>
      </c>
      <c r="B816">
        <v>76</v>
      </c>
      <c r="C816" s="2">
        <v>44910.742256944446</v>
      </c>
      <c r="D816" s="2">
        <v>44910.744756944441</v>
      </c>
      <c r="E816" s="3">
        <f t="shared" si="36"/>
        <v>44910</v>
      </c>
      <c r="F816">
        <f t="shared" si="37"/>
        <v>12</v>
      </c>
      <c r="G816" s="4">
        <f t="shared" si="38"/>
        <v>3.5999999928753823</v>
      </c>
      <c r="H816">
        <f>IF(COUNTIFS(B$2:B816,B816,E$2:E816,E816)=1,1,0)</f>
        <v>0</v>
      </c>
      <c r="I816">
        <f>IF(COUNTIFS(B$2:B816,B816,F$2:F816,F816)=1,1,0)</f>
        <v>0</v>
      </c>
    </row>
    <row r="817" spans="1:9" x14ac:dyDescent="0.3">
      <c r="A817">
        <v>827</v>
      </c>
      <c r="B817">
        <v>76</v>
      </c>
      <c r="C817" s="2">
        <v>44910.875937500001</v>
      </c>
      <c r="D817" s="2">
        <v>44910.884479166663</v>
      </c>
      <c r="E817" s="3">
        <f t="shared" si="36"/>
        <v>44910</v>
      </c>
      <c r="F817">
        <f t="shared" si="37"/>
        <v>12</v>
      </c>
      <c r="G817" s="4">
        <f t="shared" si="38"/>
        <v>12.299999993992969</v>
      </c>
      <c r="H817">
        <f>IF(COUNTIFS(B$2:B817,B817,E$2:E817,E817)=1,1,0)</f>
        <v>0</v>
      </c>
      <c r="I817">
        <f>IF(COUNTIFS(B$2:B817,B817,F$2:F817,F817)=1,1,0)</f>
        <v>0</v>
      </c>
    </row>
    <row r="818" spans="1:9" x14ac:dyDescent="0.3">
      <c r="A818">
        <v>828</v>
      </c>
      <c r="B818">
        <v>76</v>
      </c>
      <c r="C818" s="2">
        <v>44911.091736111113</v>
      </c>
      <c r="D818" s="2">
        <v>44911.101851851854</v>
      </c>
      <c r="E818" s="3">
        <f t="shared" si="36"/>
        <v>44911</v>
      </c>
      <c r="F818">
        <f t="shared" si="37"/>
        <v>12</v>
      </c>
      <c r="G818" s="4">
        <f t="shared" si="38"/>
        <v>14.566666666651145</v>
      </c>
      <c r="H818">
        <f>IF(COUNTIFS(B$2:B818,B818,E$2:E818,E818)=1,1,0)</f>
        <v>1</v>
      </c>
      <c r="I818">
        <f>IF(COUNTIFS(B$2:B818,B818,F$2:F818,F818)=1,1,0)</f>
        <v>0</v>
      </c>
    </row>
    <row r="819" spans="1:9" x14ac:dyDescent="0.3">
      <c r="A819">
        <v>829</v>
      </c>
      <c r="B819">
        <v>76</v>
      </c>
      <c r="C819" s="2">
        <v>44911.192789351851</v>
      </c>
      <c r="D819" s="2">
        <v>44911.197951388887</v>
      </c>
      <c r="E819" s="3">
        <f t="shared" si="36"/>
        <v>44911</v>
      </c>
      <c r="F819">
        <f t="shared" si="37"/>
        <v>12</v>
      </c>
      <c r="G819" s="4">
        <f t="shared" si="38"/>
        <v>7.4333333317190409</v>
      </c>
      <c r="H819">
        <f>IF(COUNTIFS(B$2:B819,B819,E$2:E819,E819)=1,1,0)</f>
        <v>0</v>
      </c>
      <c r="I819">
        <f>IF(COUNTIFS(B$2:B819,B819,F$2:F819,F819)=1,1,0)</f>
        <v>0</v>
      </c>
    </row>
    <row r="820" spans="1:9" x14ac:dyDescent="0.3">
      <c r="A820">
        <v>830</v>
      </c>
      <c r="B820">
        <v>76</v>
      </c>
      <c r="C820" s="2">
        <v>44911.395011574074</v>
      </c>
      <c r="D820" s="2">
        <v>44911.400775462964</v>
      </c>
      <c r="E820" s="3">
        <f t="shared" si="36"/>
        <v>44911</v>
      </c>
      <c r="F820">
        <f t="shared" si="37"/>
        <v>12</v>
      </c>
      <c r="G820" s="4">
        <f t="shared" si="38"/>
        <v>8.3000000019092113</v>
      </c>
      <c r="H820">
        <f>IF(COUNTIFS(B$2:B820,B820,E$2:E820,E820)=1,1,0)</f>
        <v>0</v>
      </c>
      <c r="I820">
        <f>IF(COUNTIFS(B$2:B820,B820,F$2:F820,F820)=1,1,0)</f>
        <v>0</v>
      </c>
    </row>
    <row r="821" spans="1:9" x14ac:dyDescent="0.3">
      <c r="A821">
        <v>831</v>
      </c>
      <c r="B821">
        <v>77</v>
      </c>
      <c r="C821" s="2">
        <v>44894.675358796296</v>
      </c>
      <c r="D821" s="2">
        <v>44894.685347222221</v>
      </c>
      <c r="E821" s="3">
        <f t="shared" si="36"/>
        <v>44894</v>
      </c>
      <c r="F821">
        <f t="shared" si="37"/>
        <v>11</v>
      </c>
      <c r="G821" s="4">
        <f t="shared" si="38"/>
        <v>14.383333332370967</v>
      </c>
      <c r="H821">
        <f>IF(COUNTIFS(B$2:B821,B821,E$2:E821,E821)=1,1,0)</f>
        <v>1</v>
      </c>
      <c r="I821">
        <f>IF(COUNTIFS(B$2:B821,B821,F$2:F821,F821)=1,1,0)</f>
        <v>1</v>
      </c>
    </row>
    <row r="822" spans="1:9" x14ac:dyDescent="0.3">
      <c r="A822">
        <v>832</v>
      </c>
      <c r="B822">
        <v>77</v>
      </c>
      <c r="C822" s="2">
        <v>44894.817916666667</v>
      </c>
      <c r="D822" s="2">
        <v>44894.822164351855</v>
      </c>
      <c r="E822" s="3">
        <f t="shared" si="36"/>
        <v>44894</v>
      </c>
      <c r="F822">
        <f t="shared" si="37"/>
        <v>11</v>
      </c>
      <c r="G822" s="4">
        <f t="shared" si="38"/>
        <v>6.1166666715871543</v>
      </c>
      <c r="H822">
        <f>IF(COUNTIFS(B$2:B822,B822,E$2:E822,E822)=1,1,0)</f>
        <v>0</v>
      </c>
      <c r="I822">
        <f>IF(COUNTIFS(B$2:B822,B822,F$2:F822,F822)=1,1,0)</f>
        <v>0</v>
      </c>
    </row>
    <row r="823" spans="1:9" x14ac:dyDescent="0.3">
      <c r="A823">
        <v>833</v>
      </c>
      <c r="B823">
        <v>77</v>
      </c>
      <c r="C823" s="2">
        <v>44895.059583333335</v>
      </c>
      <c r="D823" s="2">
        <v>44895.068576388891</v>
      </c>
      <c r="E823" s="3">
        <f t="shared" si="36"/>
        <v>44895</v>
      </c>
      <c r="F823">
        <f t="shared" si="37"/>
        <v>11</v>
      </c>
      <c r="G823" s="4">
        <f t="shared" si="38"/>
        <v>12.949999999254942</v>
      </c>
      <c r="H823">
        <f>IF(COUNTIFS(B$2:B823,B823,E$2:E823,E823)=1,1,0)</f>
        <v>1</v>
      </c>
      <c r="I823">
        <f>IF(COUNTIFS(B$2:B823,B823,F$2:F823,F823)=1,1,0)</f>
        <v>0</v>
      </c>
    </row>
    <row r="824" spans="1:9" x14ac:dyDescent="0.3">
      <c r="A824">
        <v>834</v>
      </c>
      <c r="B824">
        <v>77</v>
      </c>
      <c r="C824" s="2">
        <v>44895.16097222222</v>
      </c>
      <c r="D824" s="2">
        <v>44895.16810185185</v>
      </c>
      <c r="E824" s="3">
        <f t="shared" si="36"/>
        <v>44895</v>
      </c>
      <c r="F824">
        <f t="shared" si="37"/>
        <v>11</v>
      </c>
      <c r="G824" s="4">
        <f t="shared" si="38"/>
        <v>10.26666666730307</v>
      </c>
      <c r="H824">
        <f>IF(COUNTIFS(B$2:B824,B824,E$2:E824,E824)=1,1,0)</f>
        <v>0</v>
      </c>
      <c r="I824">
        <f>IF(COUNTIFS(B$2:B824,B824,F$2:F824,F824)=1,1,0)</f>
        <v>0</v>
      </c>
    </row>
    <row r="825" spans="1:9" x14ac:dyDescent="0.3">
      <c r="A825">
        <v>835</v>
      </c>
      <c r="B825">
        <v>77</v>
      </c>
      <c r="C825" s="2">
        <v>44895.420416666668</v>
      </c>
      <c r="D825" s="2">
        <v>44895.423483796294</v>
      </c>
      <c r="E825" s="3">
        <f t="shared" si="36"/>
        <v>44895</v>
      </c>
      <c r="F825">
        <f t="shared" si="37"/>
        <v>11</v>
      </c>
      <c r="G825" s="4">
        <f t="shared" si="38"/>
        <v>4.4166666618548334</v>
      </c>
      <c r="H825">
        <f>IF(COUNTIFS(B$2:B825,B825,E$2:E825,E825)=1,1,0)</f>
        <v>0</v>
      </c>
      <c r="I825">
        <f>IF(COUNTIFS(B$2:B825,B825,F$2:F825,F825)=1,1,0)</f>
        <v>0</v>
      </c>
    </row>
    <row r="826" spans="1:9" x14ac:dyDescent="0.3">
      <c r="A826">
        <v>836</v>
      </c>
      <c r="B826">
        <v>77</v>
      </c>
      <c r="C826" s="2">
        <v>44895.58730324074</v>
      </c>
      <c r="D826" s="2">
        <v>44895.597337962965</v>
      </c>
      <c r="E826" s="3">
        <f t="shared" si="36"/>
        <v>44895</v>
      </c>
      <c r="F826">
        <f t="shared" si="37"/>
        <v>11</v>
      </c>
      <c r="G826" s="4">
        <f t="shared" si="38"/>
        <v>14.450000004144385</v>
      </c>
      <c r="H826">
        <f>IF(COUNTIFS(B$2:B826,B826,E$2:E826,E826)=1,1,0)</f>
        <v>0</v>
      </c>
      <c r="I826">
        <f>IF(COUNTIFS(B$2:B826,B826,F$2:F826,F826)=1,1,0)</f>
        <v>0</v>
      </c>
    </row>
    <row r="827" spans="1:9" x14ac:dyDescent="0.3">
      <c r="A827">
        <v>837</v>
      </c>
      <c r="B827">
        <v>77</v>
      </c>
      <c r="C827" s="2">
        <v>44895.702152777776</v>
      </c>
      <c r="D827" s="2">
        <v>44895.709432870368</v>
      </c>
      <c r="E827" s="3">
        <f t="shared" si="36"/>
        <v>44895</v>
      </c>
      <c r="F827">
        <f t="shared" si="37"/>
        <v>11</v>
      </c>
      <c r="G827" s="4">
        <f t="shared" si="38"/>
        <v>10.483333332231268</v>
      </c>
      <c r="H827">
        <f>IF(COUNTIFS(B$2:B827,B827,E$2:E827,E827)=1,1,0)</f>
        <v>0</v>
      </c>
      <c r="I827">
        <f>IF(COUNTIFS(B$2:B827,B827,F$2:F827,F827)=1,1,0)</f>
        <v>0</v>
      </c>
    </row>
    <row r="828" spans="1:9" x14ac:dyDescent="0.3">
      <c r="A828">
        <v>838</v>
      </c>
      <c r="B828">
        <v>77</v>
      </c>
      <c r="C828" s="2">
        <v>44896.027303240742</v>
      </c>
      <c r="D828" s="2">
        <v>44896.036643518521</v>
      </c>
      <c r="E828" s="3">
        <f t="shared" si="36"/>
        <v>44896</v>
      </c>
      <c r="F828">
        <f t="shared" si="37"/>
        <v>12</v>
      </c>
      <c r="G828" s="4">
        <f t="shared" si="38"/>
        <v>13.450000000884756</v>
      </c>
      <c r="H828">
        <f>IF(COUNTIFS(B$2:B828,B828,E$2:E828,E828)=1,1,0)</f>
        <v>1</v>
      </c>
      <c r="I828">
        <f>IF(COUNTIFS(B$2:B828,B828,F$2:F828,F828)=1,1,0)</f>
        <v>1</v>
      </c>
    </row>
    <row r="829" spans="1:9" x14ac:dyDescent="0.3">
      <c r="A829">
        <v>839</v>
      </c>
      <c r="B829">
        <v>77</v>
      </c>
      <c r="C829" s="2">
        <v>44896.283009259256</v>
      </c>
      <c r="D829" s="2">
        <v>44896.287673611114</v>
      </c>
      <c r="E829" s="3">
        <f t="shared" si="36"/>
        <v>44896</v>
      </c>
      <c r="F829">
        <f t="shared" si="37"/>
        <v>12</v>
      </c>
      <c r="G829" s="4">
        <f t="shared" si="38"/>
        <v>6.7166666756384075</v>
      </c>
      <c r="H829">
        <f>IF(COUNTIFS(B$2:B829,B829,E$2:E829,E829)=1,1,0)</f>
        <v>0</v>
      </c>
      <c r="I829">
        <f>IF(COUNTIFS(B$2:B829,B829,F$2:F829,F829)=1,1,0)</f>
        <v>0</v>
      </c>
    </row>
    <row r="830" spans="1:9" x14ac:dyDescent="0.3">
      <c r="A830">
        <v>840</v>
      </c>
      <c r="B830">
        <v>77</v>
      </c>
      <c r="C830" s="2">
        <v>44896.582175925927</v>
      </c>
      <c r="D830" s="2">
        <v>44896.586365740739</v>
      </c>
      <c r="E830" s="3">
        <f t="shared" si="36"/>
        <v>44896</v>
      </c>
      <c r="F830">
        <f t="shared" si="37"/>
        <v>12</v>
      </c>
      <c r="G830" s="4">
        <f t="shared" si="38"/>
        <v>6.033333329251036</v>
      </c>
      <c r="H830">
        <f>IF(COUNTIFS(B$2:B830,B830,E$2:E830,E830)=1,1,0)</f>
        <v>0</v>
      </c>
      <c r="I830">
        <f>IF(COUNTIFS(B$2:B830,B830,F$2:F830,F830)=1,1,0)</f>
        <v>0</v>
      </c>
    </row>
    <row r="831" spans="1:9" x14ac:dyDescent="0.3">
      <c r="A831">
        <v>841</v>
      </c>
      <c r="B831">
        <v>77</v>
      </c>
      <c r="C831" s="2">
        <v>44896.733344907407</v>
      </c>
      <c r="D831" s="2">
        <v>44896.742245370369</v>
      </c>
      <c r="E831" s="3">
        <f t="shared" si="36"/>
        <v>44896</v>
      </c>
      <c r="F831">
        <f t="shared" si="37"/>
        <v>12</v>
      </c>
      <c r="G831" s="4">
        <f t="shared" si="38"/>
        <v>12.816666666185483</v>
      </c>
      <c r="H831">
        <f>IF(COUNTIFS(B$2:B831,B831,E$2:E831,E831)=1,1,0)</f>
        <v>0</v>
      </c>
      <c r="I831">
        <f>IF(COUNTIFS(B$2:B831,B831,F$2:F831,F831)=1,1,0)</f>
        <v>0</v>
      </c>
    </row>
    <row r="832" spans="1:9" x14ac:dyDescent="0.3">
      <c r="A832">
        <v>842</v>
      </c>
      <c r="B832">
        <v>77</v>
      </c>
      <c r="C832" s="2">
        <v>44896.88349537037</v>
      </c>
      <c r="D832" s="2">
        <v>44896.887499999997</v>
      </c>
      <c r="E832" s="3">
        <f t="shared" si="36"/>
        <v>44896</v>
      </c>
      <c r="F832">
        <f t="shared" si="37"/>
        <v>12</v>
      </c>
      <c r="G832" s="4">
        <f t="shared" si="38"/>
        <v>5.7666666631121188</v>
      </c>
      <c r="H832">
        <f>IF(COUNTIFS(B$2:B832,B832,E$2:E832,E832)=1,1,0)</f>
        <v>0</v>
      </c>
      <c r="I832">
        <f>IF(COUNTIFS(B$2:B832,B832,F$2:F832,F832)=1,1,0)</f>
        <v>0</v>
      </c>
    </row>
    <row r="833" spans="1:9" x14ac:dyDescent="0.3">
      <c r="A833">
        <v>843</v>
      </c>
      <c r="B833">
        <v>77</v>
      </c>
      <c r="C833" s="2">
        <v>44897.180208333331</v>
      </c>
      <c r="D833" s="2">
        <v>44897.187314814815</v>
      </c>
      <c r="E833" s="3">
        <f t="shared" si="36"/>
        <v>44897</v>
      </c>
      <c r="F833">
        <f t="shared" si="37"/>
        <v>12</v>
      </c>
      <c r="G833" s="4">
        <f t="shared" si="38"/>
        <v>10.233333336655051</v>
      </c>
      <c r="H833">
        <f>IF(COUNTIFS(B$2:B833,B833,E$2:E833,E833)=1,1,0)</f>
        <v>1</v>
      </c>
      <c r="I833">
        <f>IF(COUNTIFS(B$2:B833,B833,F$2:F833,F833)=1,1,0)</f>
        <v>0</v>
      </c>
    </row>
    <row r="834" spans="1:9" x14ac:dyDescent="0.3">
      <c r="A834">
        <v>844</v>
      </c>
      <c r="B834">
        <v>77</v>
      </c>
      <c r="C834" s="2">
        <v>44897.462222222224</v>
      </c>
      <c r="D834" s="2">
        <v>44897.470347222225</v>
      </c>
      <c r="E834" s="3">
        <f t="shared" ref="E834:E897" si="39">INT(C834)</f>
        <v>44897</v>
      </c>
      <c r="F834">
        <f t="shared" ref="F834:F897" si="40">MONTH(C834)</f>
        <v>12</v>
      </c>
      <c r="G834" s="4">
        <f t="shared" ref="G834:G897" si="41">(D834-C834)*1440</f>
        <v>11.700000000419095</v>
      </c>
      <c r="H834">
        <f>IF(COUNTIFS(B$2:B834,B834,E$2:E834,E834)=1,1,0)</f>
        <v>0</v>
      </c>
      <c r="I834">
        <f>IF(COUNTIFS(B$2:B834,B834,F$2:F834,F834)=1,1,0)</f>
        <v>0</v>
      </c>
    </row>
    <row r="835" spans="1:9" x14ac:dyDescent="0.3">
      <c r="A835">
        <v>845</v>
      </c>
      <c r="B835">
        <v>77</v>
      </c>
      <c r="C835" s="2">
        <v>44897.596851851849</v>
      </c>
      <c r="D835" s="2">
        <v>44897.603159722225</v>
      </c>
      <c r="E835" s="3">
        <f t="shared" si="39"/>
        <v>44897</v>
      </c>
      <c r="F835">
        <f t="shared" si="40"/>
        <v>12</v>
      </c>
      <c r="G835" s="4">
        <f t="shared" si="41"/>
        <v>9.0833333402406424</v>
      </c>
      <c r="H835">
        <f>IF(COUNTIFS(B$2:B835,B835,E$2:E835,E835)=1,1,0)</f>
        <v>0</v>
      </c>
      <c r="I835">
        <f>IF(COUNTIFS(B$2:B835,B835,F$2:F835,F835)=1,1,0)</f>
        <v>0</v>
      </c>
    </row>
    <row r="836" spans="1:9" x14ac:dyDescent="0.3">
      <c r="A836">
        <v>846</v>
      </c>
      <c r="B836">
        <v>77</v>
      </c>
      <c r="C836" s="2">
        <v>44897.702615740738</v>
      </c>
      <c r="D836" s="2">
        <v>44897.708287037036</v>
      </c>
      <c r="E836" s="3">
        <f t="shared" si="39"/>
        <v>44897</v>
      </c>
      <c r="F836">
        <f t="shared" si="40"/>
        <v>12</v>
      </c>
      <c r="G836" s="4">
        <f t="shared" si="41"/>
        <v>8.1666666688397527</v>
      </c>
      <c r="H836">
        <f>IF(COUNTIFS(B$2:B836,B836,E$2:E836,E836)=1,1,0)</f>
        <v>0</v>
      </c>
      <c r="I836">
        <f>IF(COUNTIFS(B$2:B836,B836,F$2:F836,F836)=1,1,0)</f>
        <v>0</v>
      </c>
    </row>
    <row r="837" spans="1:9" x14ac:dyDescent="0.3">
      <c r="A837">
        <v>847</v>
      </c>
      <c r="B837">
        <v>77</v>
      </c>
      <c r="C837" s="2">
        <v>44897.968541666669</v>
      </c>
      <c r="D837" s="2">
        <v>44897.970833333333</v>
      </c>
      <c r="E837" s="3">
        <f t="shared" si="39"/>
        <v>44897</v>
      </c>
      <c r="F837">
        <f t="shared" si="40"/>
        <v>12</v>
      </c>
      <c r="G837" s="4">
        <f t="shared" si="41"/>
        <v>3.2999999960884452</v>
      </c>
      <c r="H837">
        <f>IF(COUNTIFS(B$2:B837,B837,E$2:E837,E837)=1,1,0)</f>
        <v>0</v>
      </c>
      <c r="I837">
        <f>IF(COUNTIFS(B$2:B837,B837,F$2:F837,F837)=1,1,0)</f>
        <v>0</v>
      </c>
    </row>
    <row r="838" spans="1:9" x14ac:dyDescent="0.3">
      <c r="A838">
        <v>848</v>
      </c>
      <c r="B838">
        <v>77</v>
      </c>
      <c r="C838" s="2">
        <v>44898.254652777781</v>
      </c>
      <c r="D838" s="2">
        <v>44898.260509259257</v>
      </c>
      <c r="E838" s="3">
        <f t="shared" si="39"/>
        <v>44898</v>
      </c>
      <c r="F838">
        <f t="shared" si="40"/>
        <v>12</v>
      </c>
      <c r="G838" s="4">
        <f t="shared" si="41"/>
        <v>8.4333333245012909</v>
      </c>
      <c r="H838">
        <f>IF(COUNTIFS(B$2:B838,B838,E$2:E838,E838)=1,1,0)</f>
        <v>1</v>
      </c>
      <c r="I838">
        <f>IF(COUNTIFS(B$2:B838,B838,F$2:F838,F838)=1,1,0)</f>
        <v>0</v>
      </c>
    </row>
    <row r="839" spans="1:9" x14ac:dyDescent="0.3">
      <c r="A839">
        <v>849</v>
      </c>
      <c r="B839">
        <v>77</v>
      </c>
      <c r="C839" s="2">
        <v>44898.397685185184</v>
      </c>
      <c r="D839" s="2">
        <v>44898.40420138889</v>
      </c>
      <c r="E839" s="3">
        <f t="shared" si="39"/>
        <v>44898</v>
      </c>
      <c r="F839">
        <f t="shared" si="40"/>
        <v>12</v>
      </c>
      <c r="G839" s="4">
        <f t="shared" si="41"/>
        <v>9.3833333370275795</v>
      </c>
      <c r="H839">
        <f>IF(COUNTIFS(B$2:B839,B839,E$2:E839,E839)=1,1,0)</f>
        <v>0</v>
      </c>
      <c r="I839">
        <f>IF(COUNTIFS(B$2:B839,B839,F$2:F839,F839)=1,1,0)</f>
        <v>0</v>
      </c>
    </row>
    <row r="840" spans="1:9" x14ac:dyDescent="0.3">
      <c r="A840">
        <v>850</v>
      </c>
      <c r="B840">
        <v>77</v>
      </c>
      <c r="C840" s="2">
        <v>44898.686620370368</v>
      </c>
      <c r="D840" s="2">
        <v>44898.695775462962</v>
      </c>
      <c r="E840" s="3">
        <f t="shared" si="39"/>
        <v>44898</v>
      </c>
      <c r="F840">
        <f t="shared" si="40"/>
        <v>12</v>
      </c>
      <c r="G840" s="4">
        <f t="shared" si="41"/>
        <v>13.183333334745839</v>
      </c>
      <c r="H840">
        <f>IF(COUNTIFS(B$2:B840,B840,E$2:E840,E840)=1,1,0)</f>
        <v>0</v>
      </c>
      <c r="I840">
        <f>IF(COUNTIFS(B$2:B840,B840,F$2:F840,F840)=1,1,0)</f>
        <v>0</v>
      </c>
    </row>
    <row r="841" spans="1:9" x14ac:dyDescent="0.3">
      <c r="A841">
        <v>851</v>
      </c>
      <c r="B841">
        <v>77</v>
      </c>
      <c r="C841" s="2">
        <v>44898.83021990741</v>
      </c>
      <c r="D841" s="2">
        <v>44898.83148148148</v>
      </c>
      <c r="E841" s="3">
        <f t="shared" si="39"/>
        <v>44898</v>
      </c>
      <c r="F841">
        <f t="shared" si="40"/>
        <v>12</v>
      </c>
      <c r="G841" s="4">
        <f t="shared" si="41"/>
        <v>1.8166666617617011</v>
      </c>
      <c r="H841">
        <f>IF(COUNTIFS(B$2:B841,B841,E$2:E841,E841)=1,1,0)</f>
        <v>0</v>
      </c>
      <c r="I841">
        <f>IF(COUNTIFS(B$2:B841,B841,F$2:F841,F841)=1,1,0)</f>
        <v>0</v>
      </c>
    </row>
    <row r="842" spans="1:9" x14ac:dyDescent="0.3">
      <c r="A842">
        <v>852</v>
      </c>
      <c r="B842">
        <v>78</v>
      </c>
      <c r="C842" s="2">
        <v>44724.183171296296</v>
      </c>
      <c r="D842" s="2">
        <v>44724.189155092594</v>
      </c>
      <c r="E842" s="3">
        <f t="shared" si="39"/>
        <v>44724</v>
      </c>
      <c r="F842">
        <f t="shared" si="40"/>
        <v>6</v>
      </c>
      <c r="G842" s="4">
        <f t="shared" si="41"/>
        <v>8.6166666692588478</v>
      </c>
      <c r="H842">
        <f>IF(COUNTIFS(B$2:B842,B842,E$2:E842,E842)=1,1,0)</f>
        <v>1</v>
      </c>
      <c r="I842">
        <f>IF(COUNTIFS(B$2:B842,B842,F$2:F842,F842)=1,1,0)</f>
        <v>1</v>
      </c>
    </row>
    <row r="843" spans="1:9" x14ac:dyDescent="0.3">
      <c r="A843">
        <v>853</v>
      </c>
      <c r="B843">
        <v>78</v>
      </c>
      <c r="C843" s="2">
        <v>44724.288321759261</v>
      </c>
      <c r="D843" s="2">
        <v>44724.296851851854</v>
      </c>
      <c r="E843" s="3">
        <f t="shared" si="39"/>
        <v>44724</v>
      </c>
      <c r="F843">
        <f t="shared" si="40"/>
        <v>6</v>
      </c>
      <c r="G843" s="4">
        <f t="shared" si="41"/>
        <v>12.283333333907649</v>
      </c>
      <c r="H843">
        <f>IF(COUNTIFS(B$2:B843,B843,E$2:E843,E843)=1,1,0)</f>
        <v>0</v>
      </c>
      <c r="I843">
        <f>IF(COUNTIFS(B$2:B843,B843,F$2:F843,F843)=1,1,0)</f>
        <v>0</v>
      </c>
    </row>
    <row r="844" spans="1:9" x14ac:dyDescent="0.3">
      <c r="A844">
        <v>854</v>
      </c>
      <c r="B844">
        <v>78</v>
      </c>
      <c r="C844" s="2">
        <v>44724.628750000003</v>
      </c>
      <c r="D844" s="2">
        <v>44724.637627314813</v>
      </c>
      <c r="E844" s="3">
        <f t="shared" si="39"/>
        <v>44724</v>
      </c>
      <c r="F844">
        <f t="shared" si="40"/>
        <v>6</v>
      </c>
      <c r="G844" s="4">
        <f t="shared" si="41"/>
        <v>12.783333325060084</v>
      </c>
      <c r="H844">
        <f>IF(COUNTIFS(B$2:B844,B844,E$2:E844,E844)=1,1,0)</f>
        <v>0</v>
      </c>
      <c r="I844">
        <f>IF(COUNTIFS(B$2:B844,B844,F$2:F844,F844)=1,1,0)</f>
        <v>0</v>
      </c>
    </row>
    <row r="845" spans="1:9" x14ac:dyDescent="0.3">
      <c r="A845">
        <v>855</v>
      </c>
      <c r="B845">
        <v>78</v>
      </c>
      <c r="C845" s="2">
        <v>44724.89770833333</v>
      </c>
      <c r="D845" s="2">
        <v>44724.90488425926</v>
      </c>
      <c r="E845" s="3">
        <f t="shared" si="39"/>
        <v>44724</v>
      </c>
      <c r="F845">
        <f t="shared" si="40"/>
        <v>6</v>
      </c>
      <c r="G845" s="4">
        <f t="shared" si="41"/>
        <v>10.333333339076489</v>
      </c>
      <c r="H845">
        <f>IF(COUNTIFS(B$2:B845,B845,E$2:E845,E845)=1,1,0)</f>
        <v>0</v>
      </c>
      <c r="I845">
        <f>IF(COUNTIFS(B$2:B845,B845,F$2:F845,F845)=1,1,0)</f>
        <v>0</v>
      </c>
    </row>
    <row r="846" spans="1:9" x14ac:dyDescent="0.3">
      <c r="A846">
        <v>856</v>
      </c>
      <c r="B846">
        <v>78</v>
      </c>
      <c r="C846" s="2">
        <v>44725.19872685185</v>
      </c>
      <c r="D846" s="2">
        <v>44725.204861111109</v>
      </c>
      <c r="E846" s="3">
        <f t="shared" si="39"/>
        <v>44725</v>
      </c>
      <c r="F846">
        <f t="shared" si="40"/>
        <v>6</v>
      </c>
      <c r="G846" s="4">
        <f t="shared" si="41"/>
        <v>8.8333333341870457</v>
      </c>
      <c r="H846">
        <f>IF(COUNTIFS(B$2:B846,B846,E$2:E846,E846)=1,1,0)</f>
        <v>1</v>
      </c>
      <c r="I846">
        <f>IF(COUNTIFS(B$2:B846,B846,F$2:F846,F846)=1,1,0)</f>
        <v>0</v>
      </c>
    </row>
    <row r="847" spans="1:9" x14ac:dyDescent="0.3">
      <c r="A847">
        <v>857</v>
      </c>
      <c r="B847">
        <v>78</v>
      </c>
      <c r="C847" s="2">
        <v>44725.255740740744</v>
      </c>
      <c r="D847" s="2">
        <v>44725.262569444443</v>
      </c>
      <c r="E847" s="3">
        <f t="shared" si="39"/>
        <v>44725</v>
      </c>
      <c r="F847">
        <f t="shared" si="40"/>
        <v>6</v>
      </c>
      <c r="G847" s="4">
        <f t="shared" si="41"/>
        <v>9.8333333269692957</v>
      </c>
      <c r="H847">
        <f>IF(COUNTIFS(B$2:B847,B847,E$2:E847,E847)=1,1,0)</f>
        <v>0</v>
      </c>
      <c r="I847">
        <f>IF(COUNTIFS(B$2:B847,B847,F$2:F847,F847)=1,1,0)</f>
        <v>0</v>
      </c>
    </row>
    <row r="848" spans="1:9" x14ac:dyDescent="0.3">
      <c r="A848">
        <v>858</v>
      </c>
      <c r="B848">
        <v>78</v>
      </c>
      <c r="C848" s="2">
        <v>44725.435879629629</v>
      </c>
      <c r="D848" s="2">
        <v>44725.444826388892</v>
      </c>
      <c r="E848" s="3">
        <f t="shared" si="39"/>
        <v>44725</v>
      </c>
      <c r="F848">
        <f t="shared" si="40"/>
        <v>6</v>
      </c>
      <c r="G848" s="4">
        <f t="shared" si="41"/>
        <v>12.883333337958902</v>
      </c>
      <c r="H848">
        <f>IF(COUNTIFS(B$2:B848,B848,E$2:E848,E848)=1,1,0)</f>
        <v>0</v>
      </c>
      <c r="I848">
        <f>IF(COUNTIFS(B$2:B848,B848,F$2:F848,F848)=1,1,0)</f>
        <v>0</v>
      </c>
    </row>
    <row r="849" spans="1:9" x14ac:dyDescent="0.3">
      <c r="A849">
        <v>859</v>
      </c>
      <c r="B849">
        <v>78</v>
      </c>
      <c r="C849" s="2">
        <v>44725.640428240738</v>
      </c>
      <c r="D849" s="2">
        <v>44725.647893518515</v>
      </c>
      <c r="E849" s="3">
        <f t="shared" si="39"/>
        <v>44725</v>
      </c>
      <c r="F849">
        <f t="shared" si="40"/>
        <v>6</v>
      </c>
      <c r="G849" s="4">
        <f t="shared" si="41"/>
        <v>10.749999998370185</v>
      </c>
      <c r="H849">
        <f>IF(COUNTIFS(B$2:B849,B849,E$2:E849,E849)=1,1,0)</f>
        <v>0</v>
      </c>
      <c r="I849">
        <f>IF(COUNTIFS(B$2:B849,B849,F$2:F849,F849)=1,1,0)</f>
        <v>0</v>
      </c>
    </row>
    <row r="850" spans="1:9" x14ac:dyDescent="0.3">
      <c r="A850">
        <v>860</v>
      </c>
      <c r="B850">
        <v>78</v>
      </c>
      <c r="C850" s="2">
        <v>44725.719085648147</v>
      </c>
      <c r="D850" s="2">
        <v>44725.723229166666</v>
      </c>
      <c r="E850" s="3">
        <f t="shared" si="39"/>
        <v>44725</v>
      </c>
      <c r="F850">
        <f t="shared" si="40"/>
        <v>6</v>
      </c>
      <c r="G850" s="4">
        <f t="shared" si="41"/>
        <v>5.9666666679549962</v>
      </c>
      <c r="H850">
        <f>IF(COUNTIFS(B$2:B850,B850,E$2:E850,E850)=1,1,0)</f>
        <v>0</v>
      </c>
      <c r="I850">
        <f>IF(COUNTIFS(B$2:B850,B850,F$2:F850,F850)=1,1,0)</f>
        <v>0</v>
      </c>
    </row>
    <row r="851" spans="1:9" x14ac:dyDescent="0.3">
      <c r="A851">
        <v>861</v>
      </c>
      <c r="B851">
        <v>78</v>
      </c>
      <c r="C851" s="2">
        <v>44725.943576388891</v>
      </c>
      <c r="D851" s="2">
        <v>44725.945231481484</v>
      </c>
      <c r="E851" s="3">
        <f t="shared" si="39"/>
        <v>44725</v>
      </c>
      <c r="F851">
        <f t="shared" si="40"/>
        <v>6</v>
      </c>
      <c r="G851" s="4">
        <f t="shared" si="41"/>
        <v>2.3833333351649344</v>
      </c>
      <c r="H851">
        <f>IF(COUNTIFS(B$2:B851,B851,E$2:E851,E851)=1,1,0)</f>
        <v>0</v>
      </c>
      <c r="I851">
        <f>IF(COUNTIFS(B$2:B851,B851,F$2:F851,F851)=1,1,0)</f>
        <v>0</v>
      </c>
    </row>
    <row r="852" spans="1:9" x14ac:dyDescent="0.3">
      <c r="A852">
        <v>862</v>
      </c>
      <c r="B852">
        <v>78</v>
      </c>
      <c r="C852" s="2">
        <v>44726.225104166668</v>
      </c>
      <c r="D852" s="2">
        <v>44726.229120370372</v>
      </c>
      <c r="E852" s="3">
        <f t="shared" si="39"/>
        <v>44726</v>
      </c>
      <c r="F852">
        <f t="shared" si="40"/>
        <v>6</v>
      </c>
      <c r="G852" s="4">
        <f t="shared" si="41"/>
        <v>5.7833333336748183</v>
      </c>
      <c r="H852">
        <f>IF(COUNTIFS(B$2:B852,B852,E$2:E852,E852)=1,1,0)</f>
        <v>1</v>
      </c>
      <c r="I852">
        <f>IF(COUNTIFS(B$2:B852,B852,F$2:F852,F852)=1,1,0)</f>
        <v>0</v>
      </c>
    </row>
    <row r="853" spans="1:9" x14ac:dyDescent="0.3">
      <c r="A853">
        <v>863</v>
      </c>
      <c r="B853">
        <v>78</v>
      </c>
      <c r="C853" s="2">
        <v>44726.321481481478</v>
      </c>
      <c r="D853" s="2">
        <v>44726.332256944443</v>
      </c>
      <c r="E853" s="3">
        <f t="shared" si="39"/>
        <v>44726</v>
      </c>
      <c r="F853">
        <f t="shared" si="40"/>
        <v>6</v>
      </c>
      <c r="G853" s="4">
        <f t="shared" si="41"/>
        <v>15.516666668700054</v>
      </c>
      <c r="H853">
        <f>IF(COUNTIFS(B$2:B853,B853,E$2:E853,E853)=1,1,0)</f>
        <v>0</v>
      </c>
      <c r="I853">
        <f>IF(COUNTIFS(B$2:B853,B853,F$2:F853,F853)=1,1,0)</f>
        <v>0</v>
      </c>
    </row>
    <row r="854" spans="1:9" x14ac:dyDescent="0.3">
      <c r="A854">
        <v>864</v>
      </c>
      <c r="B854">
        <v>78</v>
      </c>
      <c r="C854" s="2">
        <v>44726.578796296293</v>
      </c>
      <c r="D854" s="2">
        <v>44726.587627314817</v>
      </c>
      <c r="E854" s="3">
        <f t="shared" si="39"/>
        <v>44726</v>
      </c>
      <c r="F854">
        <f t="shared" si="40"/>
        <v>6</v>
      </c>
      <c r="G854" s="4">
        <f t="shared" si="41"/>
        <v>12.716666674241424</v>
      </c>
      <c r="H854">
        <f>IF(COUNTIFS(B$2:B854,B854,E$2:E854,E854)=1,1,0)</f>
        <v>0</v>
      </c>
      <c r="I854">
        <f>IF(COUNTIFS(B$2:B854,B854,F$2:F854,F854)=1,1,0)</f>
        <v>0</v>
      </c>
    </row>
    <row r="855" spans="1:9" x14ac:dyDescent="0.3">
      <c r="A855">
        <v>865</v>
      </c>
      <c r="B855">
        <v>78</v>
      </c>
      <c r="C855" s="2">
        <v>44726.765092592592</v>
      </c>
      <c r="D855" s="2">
        <v>44726.776076388887</v>
      </c>
      <c r="E855" s="3">
        <f t="shared" si="39"/>
        <v>44726</v>
      </c>
      <c r="F855">
        <f t="shared" si="40"/>
        <v>6</v>
      </c>
      <c r="G855" s="4">
        <f t="shared" si="41"/>
        <v>15.816666665486991</v>
      </c>
      <c r="H855">
        <f>IF(COUNTIFS(B$2:B855,B855,E$2:E855,E855)=1,1,0)</f>
        <v>0</v>
      </c>
      <c r="I855">
        <f>IF(COUNTIFS(B$2:B855,B855,F$2:F855,F855)=1,1,0)</f>
        <v>0</v>
      </c>
    </row>
    <row r="856" spans="1:9" x14ac:dyDescent="0.3">
      <c r="A856">
        <v>866</v>
      </c>
      <c r="B856">
        <v>79</v>
      </c>
      <c r="C856" s="2">
        <v>44811.306666666664</v>
      </c>
      <c r="D856" s="2">
        <v>44811.311643518522</v>
      </c>
      <c r="E856" s="3">
        <f t="shared" si="39"/>
        <v>44811</v>
      </c>
      <c r="F856">
        <f t="shared" si="40"/>
        <v>9</v>
      </c>
      <c r="G856" s="4">
        <f t="shared" si="41"/>
        <v>7.1666666760575026</v>
      </c>
      <c r="H856">
        <f>IF(COUNTIFS(B$2:B856,B856,E$2:E856,E856)=1,1,0)</f>
        <v>1</v>
      </c>
      <c r="I856">
        <f>IF(COUNTIFS(B$2:B856,B856,F$2:F856,F856)=1,1,0)</f>
        <v>1</v>
      </c>
    </row>
    <row r="857" spans="1:9" x14ac:dyDescent="0.3">
      <c r="A857">
        <v>867</v>
      </c>
      <c r="B857">
        <v>79</v>
      </c>
      <c r="C857" s="2">
        <v>44811.543020833335</v>
      </c>
      <c r="D857" s="2">
        <v>44811.548310185186</v>
      </c>
      <c r="E857" s="3">
        <f t="shared" si="39"/>
        <v>44811</v>
      </c>
      <c r="F857">
        <f t="shared" si="40"/>
        <v>9</v>
      </c>
      <c r="G857" s="4">
        <f t="shared" si="41"/>
        <v>7.6166666659992188</v>
      </c>
      <c r="H857">
        <f>IF(COUNTIFS(B$2:B857,B857,E$2:E857,E857)=1,1,0)</f>
        <v>0</v>
      </c>
      <c r="I857">
        <f>IF(COUNTIFS(B$2:B857,B857,F$2:F857,F857)=1,1,0)</f>
        <v>0</v>
      </c>
    </row>
    <row r="858" spans="1:9" x14ac:dyDescent="0.3">
      <c r="A858">
        <v>868</v>
      </c>
      <c r="B858">
        <v>79</v>
      </c>
      <c r="C858" s="2">
        <v>44811.83997685185</v>
      </c>
      <c r="D858" s="2">
        <v>44811.844930555555</v>
      </c>
      <c r="E858" s="3">
        <f t="shared" si="39"/>
        <v>44811</v>
      </c>
      <c r="F858">
        <f t="shared" si="40"/>
        <v>9</v>
      </c>
      <c r="G858" s="4">
        <f t="shared" si="41"/>
        <v>7.1333333349321038</v>
      </c>
      <c r="H858">
        <f>IF(COUNTIFS(B$2:B858,B858,E$2:E858,E858)=1,1,0)</f>
        <v>0</v>
      </c>
      <c r="I858">
        <f>IF(COUNTIFS(B$2:B858,B858,F$2:F858,F858)=1,1,0)</f>
        <v>0</v>
      </c>
    </row>
    <row r="859" spans="1:9" x14ac:dyDescent="0.3">
      <c r="A859">
        <v>869</v>
      </c>
      <c r="B859">
        <v>79</v>
      </c>
      <c r="C859" s="2">
        <v>44811.931296296294</v>
      </c>
      <c r="D859" s="2">
        <v>44811.940625000003</v>
      </c>
      <c r="E859" s="3">
        <f t="shared" si="39"/>
        <v>44811</v>
      </c>
      <c r="F859">
        <f t="shared" si="40"/>
        <v>9</v>
      </c>
      <c r="G859" s="4">
        <f t="shared" si="41"/>
        <v>13.433333340799436</v>
      </c>
      <c r="H859">
        <f>IF(COUNTIFS(B$2:B859,B859,E$2:E859,E859)=1,1,0)</f>
        <v>0</v>
      </c>
      <c r="I859">
        <f>IF(COUNTIFS(B$2:B859,B859,F$2:F859,F859)=1,1,0)</f>
        <v>0</v>
      </c>
    </row>
    <row r="860" spans="1:9" x14ac:dyDescent="0.3">
      <c r="A860">
        <v>870</v>
      </c>
      <c r="B860">
        <v>79</v>
      </c>
      <c r="C860" s="2">
        <v>44812.111180555556</v>
      </c>
      <c r="D860" s="2">
        <v>44812.116666666669</v>
      </c>
      <c r="E860" s="3">
        <f t="shared" si="39"/>
        <v>44812</v>
      </c>
      <c r="F860">
        <f t="shared" si="40"/>
        <v>9</v>
      </c>
      <c r="G860" s="4">
        <f t="shared" si="41"/>
        <v>7.9000000027008355</v>
      </c>
      <c r="H860">
        <f>IF(COUNTIFS(B$2:B860,B860,E$2:E860,E860)=1,1,0)</f>
        <v>1</v>
      </c>
      <c r="I860">
        <f>IF(COUNTIFS(B$2:B860,B860,F$2:F860,F860)=1,1,0)</f>
        <v>0</v>
      </c>
    </row>
    <row r="861" spans="1:9" x14ac:dyDescent="0.3">
      <c r="A861">
        <v>871</v>
      </c>
      <c r="B861">
        <v>79</v>
      </c>
      <c r="C861" s="2">
        <v>44812.236990740741</v>
      </c>
      <c r="D861" s="2">
        <v>44812.244108796294</v>
      </c>
      <c r="E861" s="3">
        <f t="shared" si="39"/>
        <v>44812</v>
      </c>
      <c r="F861">
        <f t="shared" si="40"/>
        <v>9</v>
      </c>
      <c r="G861" s="4">
        <f t="shared" si="41"/>
        <v>10.249999996740371</v>
      </c>
      <c r="H861">
        <f>IF(COUNTIFS(B$2:B861,B861,E$2:E861,E861)=1,1,0)</f>
        <v>0</v>
      </c>
      <c r="I861">
        <f>IF(COUNTIFS(B$2:B861,B861,F$2:F861,F861)=1,1,0)</f>
        <v>0</v>
      </c>
    </row>
    <row r="862" spans="1:9" x14ac:dyDescent="0.3">
      <c r="A862">
        <v>872</v>
      </c>
      <c r="B862">
        <v>79</v>
      </c>
      <c r="C862" s="2">
        <v>44812.38386574074</v>
      </c>
      <c r="D862" s="2">
        <v>44812.392164351855</v>
      </c>
      <c r="E862" s="3">
        <f t="shared" si="39"/>
        <v>44812</v>
      </c>
      <c r="F862">
        <f t="shared" si="40"/>
        <v>9</v>
      </c>
      <c r="G862" s="4">
        <f t="shared" si="41"/>
        <v>11.950000006472692</v>
      </c>
      <c r="H862">
        <f>IF(COUNTIFS(B$2:B862,B862,E$2:E862,E862)=1,1,0)</f>
        <v>0</v>
      </c>
      <c r="I862">
        <f>IF(COUNTIFS(B$2:B862,B862,F$2:F862,F862)=1,1,0)</f>
        <v>0</v>
      </c>
    </row>
    <row r="863" spans="1:9" x14ac:dyDescent="0.3">
      <c r="A863">
        <v>873</v>
      </c>
      <c r="B863">
        <v>79</v>
      </c>
      <c r="C863" s="2">
        <v>44812.489293981482</v>
      </c>
      <c r="D863" s="2">
        <v>44812.497557870367</v>
      </c>
      <c r="E863" s="3">
        <f t="shared" si="39"/>
        <v>44812</v>
      </c>
      <c r="F863">
        <f t="shared" si="40"/>
        <v>9</v>
      </c>
      <c r="G863" s="4">
        <f t="shared" si="41"/>
        <v>11.899999994784594</v>
      </c>
      <c r="H863">
        <f>IF(COUNTIFS(B$2:B863,B863,E$2:E863,E863)=1,1,0)</f>
        <v>0</v>
      </c>
      <c r="I863">
        <f>IF(COUNTIFS(B$2:B863,B863,F$2:F863,F863)=1,1,0)</f>
        <v>0</v>
      </c>
    </row>
    <row r="864" spans="1:9" x14ac:dyDescent="0.3">
      <c r="A864">
        <v>874</v>
      </c>
      <c r="B864">
        <v>79</v>
      </c>
      <c r="C864" s="2">
        <v>44812.602476851855</v>
      </c>
      <c r="D864" s="2">
        <v>44812.605462962965</v>
      </c>
      <c r="E864" s="3">
        <f t="shared" si="39"/>
        <v>44812</v>
      </c>
      <c r="F864">
        <f t="shared" si="40"/>
        <v>9</v>
      </c>
      <c r="G864" s="4">
        <f t="shared" si="41"/>
        <v>4.2999999993480742</v>
      </c>
      <c r="H864">
        <f>IF(COUNTIFS(B$2:B864,B864,E$2:E864,E864)=1,1,0)</f>
        <v>0</v>
      </c>
      <c r="I864">
        <f>IF(COUNTIFS(B$2:B864,B864,F$2:F864,F864)=1,1,0)</f>
        <v>0</v>
      </c>
    </row>
    <row r="865" spans="1:9" x14ac:dyDescent="0.3">
      <c r="A865">
        <v>875</v>
      </c>
      <c r="B865">
        <v>79</v>
      </c>
      <c r="C865" s="2">
        <v>44812.719189814816</v>
      </c>
      <c r="D865" s="2">
        <v>44812.722453703704</v>
      </c>
      <c r="E865" s="3">
        <f t="shared" si="39"/>
        <v>44812</v>
      </c>
      <c r="F865">
        <f t="shared" si="40"/>
        <v>9</v>
      </c>
      <c r="G865" s="4">
        <f t="shared" si="41"/>
        <v>4.69999999855645</v>
      </c>
      <c r="H865">
        <f>IF(COUNTIFS(B$2:B865,B865,E$2:E865,E865)=1,1,0)</f>
        <v>0</v>
      </c>
      <c r="I865">
        <f>IF(COUNTIFS(B$2:B865,B865,F$2:F865,F865)=1,1,0)</f>
        <v>0</v>
      </c>
    </row>
    <row r="866" spans="1:9" x14ac:dyDescent="0.3">
      <c r="A866">
        <v>876</v>
      </c>
      <c r="B866">
        <v>80</v>
      </c>
      <c r="C866" s="2">
        <v>44758.457777777781</v>
      </c>
      <c r="D866" s="2">
        <v>44758.461608796293</v>
      </c>
      <c r="E866" s="3">
        <f t="shared" si="39"/>
        <v>44758</v>
      </c>
      <c r="F866">
        <f t="shared" si="40"/>
        <v>7</v>
      </c>
      <c r="G866" s="4">
        <f t="shared" si="41"/>
        <v>5.5166666570585221</v>
      </c>
      <c r="H866">
        <f>IF(COUNTIFS(B$2:B866,B866,E$2:E866,E866)=1,1,0)</f>
        <v>1</v>
      </c>
      <c r="I866">
        <f>IF(COUNTIFS(B$2:B866,B866,F$2:F866,F866)=1,1,0)</f>
        <v>1</v>
      </c>
    </row>
    <row r="867" spans="1:9" x14ac:dyDescent="0.3">
      <c r="A867">
        <v>877</v>
      </c>
      <c r="B867">
        <v>80</v>
      </c>
      <c r="C867" s="2">
        <v>44758.718263888892</v>
      </c>
      <c r="D867" s="2">
        <v>44758.722268518519</v>
      </c>
      <c r="E867" s="3">
        <f t="shared" si="39"/>
        <v>44758</v>
      </c>
      <c r="F867">
        <f t="shared" si="40"/>
        <v>7</v>
      </c>
      <c r="G867" s="4">
        <f t="shared" si="41"/>
        <v>5.7666666631121188</v>
      </c>
      <c r="H867">
        <f>IF(COUNTIFS(B$2:B867,B867,E$2:E867,E867)=1,1,0)</f>
        <v>0</v>
      </c>
      <c r="I867">
        <f>IF(COUNTIFS(B$2:B867,B867,F$2:F867,F867)=1,1,0)</f>
        <v>0</v>
      </c>
    </row>
    <row r="868" spans="1:9" x14ac:dyDescent="0.3">
      <c r="A868">
        <v>878</v>
      </c>
      <c r="B868">
        <v>80</v>
      </c>
      <c r="C868" s="2">
        <v>44758.76667824074</v>
      </c>
      <c r="D868" s="2">
        <v>44758.770810185182</v>
      </c>
      <c r="E868" s="3">
        <f t="shared" si="39"/>
        <v>44758</v>
      </c>
      <c r="F868">
        <f t="shared" si="40"/>
        <v>7</v>
      </c>
      <c r="G868" s="4">
        <f t="shared" si="41"/>
        <v>5.9499999973922968</v>
      </c>
      <c r="H868">
        <f>IF(COUNTIFS(B$2:B868,B868,E$2:E868,E868)=1,1,0)</f>
        <v>0</v>
      </c>
      <c r="I868">
        <f>IF(COUNTIFS(B$2:B868,B868,F$2:F868,F868)=1,1,0)</f>
        <v>0</v>
      </c>
    </row>
    <row r="869" spans="1:9" x14ac:dyDescent="0.3">
      <c r="A869">
        <v>879</v>
      </c>
      <c r="B869">
        <v>80</v>
      </c>
      <c r="C869" s="2">
        <v>44758.885127314818</v>
      </c>
      <c r="D869" s="2">
        <v>44758.888807870368</v>
      </c>
      <c r="E869" s="3">
        <f t="shared" si="39"/>
        <v>44758</v>
      </c>
      <c r="F869">
        <f t="shared" si="40"/>
        <v>7</v>
      </c>
      <c r="G869" s="4">
        <f t="shared" si="41"/>
        <v>5.2999999921303242</v>
      </c>
      <c r="H869">
        <f>IF(COUNTIFS(B$2:B869,B869,E$2:E869,E869)=1,1,0)</f>
        <v>0</v>
      </c>
      <c r="I869">
        <f>IF(COUNTIFS(B$2:B869,B869,F$2:F869,F869)=1,1,0)</f>
        <v>0</v>
      </c>
    </row>
    <row r="870" spans="1:9" x14ac:dyDescent="0.3">
      <c r="A870">
        <v>880</v>
      </c>
      <c r="B870">
        <v>80</v>
      </c>
      <c r="C870" s="2">
        <v>44759.052245370367</v>
      </c>
      <c r="D870" s="2">
        <v>44759.057129629633</v>
      </c>
      <c r="E870" s="3">
        <f t="shared" si="39"/>
        <v>44759</v>
      </c>
      <c r="F870">
        <f t="shared" si="40"/>
        <v>7</v>
      </c>
      <c r="G870" s="4">
        <f t="shared" si="41"/>
        <v>7.033333342988044</v>
      </c>
      <c r="H870">
        <f>IF(COUNTIFS(B$2:B870,B870,E$2:E870,E870)=1,1,0)</f>
        <v>1</v>
      </c>
      <c r="I870">
        <f>IF(COUNTIFS(B$2:B870,B870,F$2:F870,F870)=1,1,0)</f>
        <v>0</v>
      </c>
    </row>
    <row r="871" spans="1:9" x14ac:dyDescent="0.3">
      <c r="A871">
        <v>881</v>
      </c>
      <c r="B871">
        <v>81</v>
      </c>
      <c r="C871" s="2">
        <v>44791.239745370367</v>
      </c>
      <c r="D871" s="2">
        <v>44791.246030092596</v>
      </c>
      <c r="E871" s="3">
        <f t="shared" si="39"/>
        <v>44791</v>
      </c>
      <c r="F871">
        <f t="shared" si="40"/>
        <v>8</v>
      </c>
      <c r="G871" s="4">
        <f t="shared" si="41"/>
        <v>9.0500000095926225</v>
      </c>
      <c r="H871">
        <f>IF(COUNTIFS(B$2:B871,B871,E$2:E871,E871)=1,1,0)</f>
        <v>1</v>
      </c>
      <c r="I871">
        <f>IF(COUNTIFS(B$2:B871,B871,F$2:F871,F871)=1,1,0)</f>
        <v>1</v>
      </c>
    </row>
    <row r="872" spans="1:9" x14ac:dyDescent="0.3">
      <c r="A872">
        <v>882</v>
      </c>
      <c r="B872">
        <v>81</v>
      </c>
      <c r="C872" s="2">
        <v>44791.537280092591</v>
      </c>
      <c r="D872" s="2">
        <v>44791.545925925922</v>
      </c>
      <c r="E872" s="3">
        <f t="shared" si="39"/>
        <v>44791</v>
      </c>
      <c r="F872">
        <f t="shared" si="40"/>
        <v>8</v>
      </c>
      <c r="G872" s="4">
        <f t="shared" si="41"/>
        <v>12.449999997625127</v>
      </c>
      <c r="H872">
        <f>IF(COUNTIFS(B$2:B872,B872,E$2:E872,E872)=1,1,0)</f>
        <v>0</v>
      </c>
      <c r="I872">
        <f>IF(COUNTIFS(B$2:B872,B872,F$2:F872,F872)=1,1,0)</f>
        <v>0</v>
      </c>
    </row>
    <row r="873" spans="1:9" x14ac:dyDescent="0.3">
      <c r="A873">
        <v>883</v>
      </c>
      <c r="B873">
        <v>81</v>
      </c>
      <c r="C873" s="2">
        <v>44791.798888888887</v>
      </c>
      <c r="D873" s="2">
        <v>44791.803078703706</v>
      </c>
      <c r="E873" s="3">
        <f t="shared" si="39"/>
        <v>44791</v>
      </c>
      <c r="F873">
        <f t="shared" si="40"/>
        <v>8</v>
      </c>
      <c r="G873" s="4">
        <f t="shared" si="41"/>
        <v>6.033333339728415</v>
      </c>
      <c r="H873">
        <f>IF(COUNTIFS(B$2:B873,B873,E$2:E873,E873)=1,1,0)</f>
        <v>0</v>
      </c>
      <c r="I873">
        <f>IF(COUNTIFS(B$2:B873,B873,F$2:F873,F873)=1,1,0)</f>
        <v>0</v>
      </c>
    </row>
    <row r="874" spans="1:9" x14ac:dyDescent="0.3">
      <c r="A874">
        <v>884</v>
      </c>
      <c r="B874">
        <v>81</v>
      </c>
      <c r="C874" s="2">
        <v>44792.063287037039</v>
      </c>
      <c r="D874" s="2">
        <v>44792.071574074071</v>
      </c>
      <c r="E874" s="3">
        <f t="shared" si="39"/>
        <v>44792</v>
      </c>
      <c r="F874">
        <f t="shared" si="40"/>
        <v>8</v>
      </c>
      <c r="G874" s="4">
        <f t="shared" si="41"/>
        <v>11.933333325432613</v>
      </c>
      <c r="H874">
        <f>IF(COUNTIFS(B$2:B874,B874,E$2:E874,E874)=1,1,0)</f>
        <v>1</v>
      </c>
      <c r="I874">
        <f>IF(COUNTIFS(B$2:B874,B874,F$2:F874,F874)=1,1,0)</f>
        <v>0</v>
      </c>
    </row>
    <row r="875" spans="1:9" x14ac:dyDescent="0.3">
      <c r="A875">
        <v>885</v>
      </c>
      <c r="B875">
        <v>81</v>
      </c>
      <c r="C875" s="2">
        <v>44792.219143518516</v>
      </c>
      <c r="D875" s="2">
        <v>44792.227071759262</v>
      </c>
      <c r="E875" s="3">
        <f t="shared" si="39"/>
        <v>44792</v>
      </c>
      <c r="F875">
        <f t="shared" si="40"/>
        <v>8</v>
      </c>
      <c r="G875" s="4">
        <f t="shared" si="41"/>
        <v>11.416666674194857</v>
      </c>
      <c r="H875">
        <f>IF(COUNTIFS(B$2:B875,B875,E$2:E875,E875)=1,1,0)</f>
        <v>0</v>
      </c>
      <c r="I875">
        <f>IF(COUNTIFS(B$2:B875,B875,F$2:F875,F875)=1,1,0)</f>
        <v>0</v>
      </c>
    </row>
    <row r="876" spans="1:9" x14ac:dyDescent="0.3">
      <c r="A876">
        <v>886</v>
      </c>
      <c r="B876">
        <v>81</v>
      </c>
      <c r="C876" s="2">
        <v>44792.479016203702</v>
      </c>
      <c r="D876" s="2">
        <v>44792.48541666667</v>
      </c>
      <c r="E876" s="3">
        <f t="shared" si="39"/>
        <v>44792</v>
      </c>
      <c r="F876">
        <f t="shared" si="40"/>
        <v>8</v>
      </c>
      <c r="G876" s="4">
        <f t="shared" si="41"/>
        <v>9.216666673310101</v>
      </c>
      <c r="H876">
        <f>IF(COUNTIFS(B$2:B876,B876,E$2:E876,E876)=1,1,0)</f>
        <v>0</v>
      </c>
      <c r="I876">
        <f>IF(COUNTIFS(B$2:B876,B876,F$2:F876,F876)=1,1,0)</f>
        <v>0</v>
      </c>
    </row>
    <row r="877" spans="1:9" x14ac:dyDescent="0.3">
      <c r="A877">
        <v>887</v>
      </c>
      <c r="B877">
        <v>81</v>
      </c>
      <c r="C877" s="2">
        <v>44792.578587962962</v>
      </c>
      <c r="D877" s="2">
        <v>44792.586076388892</v>
      </c>
      <c r="E877" s="3">
        <f t="shared" si="39"/>
        <v>44792</v>
      </c>
      <c r="F877">
        <f t="shared" si="40"/>
        <v>8</v>
      </c>
      <c r="G877" s="4">
        <f t="shared" si="41"/>
        <v>10.783333339495584</v>
      </c>
      <c r="H877">
        <f>IF(COUNTIFS(B$2:B877,B877,E$2:E877,E877)=1,1,0)</f>
        <v>0</v>
      </c>
      <c r="I877">
        <f>IF(COUNTIFS(B$2:B877,B877,F$2:F877,F877)=1,1,0)</f>
        <v>0</v>
      </c>
    </row>
    <row r="878" spans="1:9" x14ac:dyDescent="0.3">
      <c r="A878">
        <v>888</v>
      </c>
      <c r="B878">
        <v>81</v>
      </c>
      <c r="C878" s="2">
        <v>44792.627986111111</v>
      </c>
      <c r="D878" s="2">
        <v>44792.637662037036</v>
      </c>
      <c r="E878" s="3">
        <f t="shared" si="39"/>
        <v>44792</v>
      </c>
      <c r="F878">
        <f t="shared" si="40"/>
        <v>8</v>
      </c>
      <c r="G878" s="4">
        <f t="shared" si="41"/>
        <v>13.933333331951872</v>
      </c>
      <c r="H878">
        <f>IF(COUNTIFS(B$2:B878,B878,E$2:E878,E878)=1,1,0)</f>
        <v>0</v>
      </c>
      <c r="I878">
        <f>IF(COUNTIFS(B$2:B878,B878,F$2:F878,F878)=1,1,0)</f>
        <v>0</v>
      </c>
    </row>
    <row r="879" spans="1:9" x14ac:dyDescent="0.3">
      <c r="A879">
        <v>889</v>
      </c>
      <c r="B879">
        <v>81</v>
      </c>
      <c r="C879" s="2">
        <v>44792.776238425926</v>
      </c>
      <c r="D879" s="2">
        <v>44792.78570601852</v>
      </c>
      <c r="E879" s="3">
        <f t="shared" si="39"/>
        <v>44792</v>
      </c>
      <c r="F879">
        <f t="shared" si="40"/>
        <v>8</v>
      </c>
      <c r="G879" s="4">
        <f t="shared" si="41"/>
        <v>13.633333335164934</v>
      </c>
      <c r="H879">
        <f>IF(COUNTIFS(B$2:B879,B879,E$2:E879,E879)=1,1,0)</f>
        <v>0</v>
      </c>
      <c r="I879">
        <f>IF(COUNTIFS(B$2:B879,B879,F$2:F879,F879)=1,1,0)</f>
        <v>0</v>
      </c>
    </row>
    <row r="880" spans="1:9" x14ac:dyDescent="0.3">
      <c r="A880">
        <v>890</v>
      </c>
      <c r="B880">
        <v>81</v>
      </c>
      <c r="C880" s="2">
        <v>44793.097129629627</v>
      </c>
      <c r="D880" s="2">
        <v>44793.103703703702</v>
      </c>
      <c r="E880" s="3">
        <f t="shared" si="39"/>
        <v>44793</v>
      </c>
      <c r="F880">
        <f t="shared" si="40"/>
        <v>8</v>
      </c>
      <c r="G880" s="4">
        <f t="shared" si="41"/>
        <v>9.4666666688863188</v>
      </c>
      <c r="H880">
        <f>IF(COUNTIFS(B$2:B880,B880,E$2:E880,E880)=1,1,0)</f>
        <v>1</v>
      </c>
      <c r="I880">
        <f>IF(COUNTIFS(B$2:B880,B880,F$2:F880,F880)=1,1,0)</f>
        <v>0</v>
      </c>
    </row>
    <row r="881" spans="1:9" x14ac:dyDescent="0.3">
      <c r="A881">
        <v>891</v>
      </c>
      <c r="B881">
        <v>81</v>
      </c>
      <c r="C881" s="2">
        <v>44793.362835648149</v>
      </c>
      <c r="D881" s="2">
        <v>44793.371944444443</v>
      </c>
      <c r="E881" s="3">
        <f t="shared" si="39"/>
        <v>44793</v>
      </c>
      <c r="F881">
        <f t="shared" si="40"/>
        <v>8</v>
      </c>
      <c r="G881" s="4">
        <f t="shared" si="41"/>
        <v>13.11666666297242</v>
      </c>
      <c r="H881">
        <f>IF(COUNTIFS(B$2:B881,B881,E$2:E881,E881)=1,1,0)</f>
        <v>0</v>
      </c>
      <c r="I881">
        <f>IF(COUNTIFS(B$2:B881,B881,F$2:F881,F881)=1,1,0)</f>
        <v>0</v>
      </c>
    </row>
    <row r="882" spans="1:9" x14ac:dyDescent="0.3">
      <c r="A882">
        <v>892</v>
      </c>
      <c r="B882">
        <v>82</v>
      </c>
      <c r="C882" s="2">
        <v>44878.897534722222</v>
      </c>
      <c r="D882" s="2">
        <v>44878.90457175926</v>
      </c>
      <c r="E882" s="3">
        <f t="shared" si="39"/>
        <v>44878</v>
      </c>
      <c r="F882">
        <f t="shared" si="40"/>
        <v>11</v>
      </c>
      <c r="G882" s="4">
        <f t="shared" si="41"/>
        <v>10.133333334233612</v>
      </c>
      <c r="H882">
        <f>IF(COUNTIFS(B$2:B882,B882,E$2:E882,E882)=1,1,0)</f>
        <v>1</v>
      </c>
      <c r="I882">
        <f>IF(COUNTIFS(B$2:B882,B882,F$2:F882,F882)=1,1,0)</f>
        <v>1</v>
      </c>
    </row>
    <row r="883" spans="1:9" x14ac:dyDescent="0.3">
      <c r="A883">
        <v>893</v>
      </c>
      <c r="B883">
        <v>82</v>
      </c>
      <c r="C883" s="2">
        <v>44879.139780092592</v>
      </c>
      <c r="D883" s="2">
        <v>44879.146111111113</v>
      </c>
      <c r="E883" s="3">
        <f t="shared" si="39"/>
        <v>44879</v>
      </c>
      <c r="F883">
        <f t="shared" si="40"/>
        <v>11</v>
      </c>
      <c r="G883" s="4">
        <f t="shared" si="41"/>
        <v>9.1166666708886623</v>
      </c>
      <c r="H883">
        <f>IF(COUNTIFS(B$2:B883,B883,E$2:E883,E883)=1,1,0)</f>
        <v>1</v>
      </c>
      <c r="I883">
        <f>IF(COUNTIFS(B$2:B883,B883,F$2:F883,F883)=1,1,0)</f>
        <v>0</v>
      </c>
    </row>
    <row r="884" spans="1:9" x14ac:dyDescent="0.3">
      <c r="A884">
        <v>894</v>
      </c>
      <c r="B884">
        <v>82</v>
      </c>
      <c r="C884" s="2">
        <v>44879.259409722225</v>
      </c>
      <c r="D884" s="2">
        <v>44879.268101851849</v>
      </c>
      <c r="E884" s="3">
        <f t="shared" si="39"/>
        <v>44879</v>
      </c>
      <c r="F884">
        <f t="shared" si="40"/>
        <v>11</v>
      </c>
      <c r="G884" s="4">
        <f t="shared" si="41"/>
        <v>12.516666658921167</v>
      </c>
      <c r="H884">
        <f>IF(COUNTIFS(B$2:B884,B884,E$2:E884,E884)=1,1,0)</f>
        <v>0</v>
      </c>
      <c r="I884">
        <f>IF(COUNTIFS(B$2:B884,B884,F$2:F884,F884)=1,1,0)</f>
        <v>0</v>
      </c>
    </row>
    <row r="885" spans="1:9" x14ac:dyDescent="0.3">
      <c r="A885">
        <v>895</v>
      </c>
      <c r="B885">
        <v>82</v>
      </c>
      <c r="C885" s="2">
        <v>44879.392060185186</v>
      </c>
      <c r="D885" s="2">
        <v>44879.400034722225</v>
      </c>
      <c r="E885" s="3">
        <f t="shared" si="39"/>
        <v>44879</v>
      </c>
      <c r="F885">
        <f t="shared" si="40"/>
        <v>11</v>
      </c>
      <c r="G885" s="4">
        <f t="shared" si="41"/>
        <v>11.483333335490897</v>
      </c>
      <c r="H885">
        <f>IF(COUNTIFS(B$2:B885,B885,E$2:E885,E885)=1,1,0)</f>
        <v>0</v>
      </c>
      <c r="I885">
        <f>IF(COUNTIFS(B$2:B885,B885,F$2:F885,F885)=1,1,0)</f>
        <v>0</v>
      </c>
    </row>
    <row r="886" spans="1:9" x14ac:dyDescent="0.3">
      <c r="A886">
        <v>896</v>
      </c>
      <c r="B886">
        <v>82</v>
      </c>
      <c r="C886" s="2">
        <v>44879.503148148149</v>
      </c>
      <c r="D886" s="2">
        <v>44879.505358796298</v>
      </c>
      <c r="E886" s="3">
        <f t="shared" si="39"/>
        <v>44879</v>
      </c>
      <c r="F886">
        <f t="shared" si="40"/>
        <v>11</v>
      </c>
      <c r="G886" s="4">
        <f t="shared" si="41"/>
        <v>3.183333333581686</v>
      </c>
      <c r="H886">
        <f>IF(COUNTIFS(B$2:B886,B886,E$2:E886,E886)=1,1,0)</f>
        <v>0</v>
      </c>
      <c r="I886">
        <f>IF(COUNTIFS(B$2:B886,B886,F$2:F886,F886)=1,1,0)</f>
        <v>0</v>
      </c>
    </row>
    <row r="887" spans="1:9" x14ac:dyDescent="0.3">
      <c r="A887">
        <v>897</v>
      </c>
      <c r="B887">
        <v>82</v>
      </c>
      <c r="C887" s="2">
        <v>44879.817824074074</v>
      </c>
      <c r="D887" s="2">
        <v>44879.823125000003</v>
      </c>
      <c r="E887" s="3">
        <f t="shared" si="39"/>
        <v>44879</v>
      </c>
      <c r="F887">
        <f t="shared" si="40"/>
        <v>11</v>
      </c>
      <c r="G887" s="4">
        <f t="shared" si="41"/>
        <v>7.6333333365619183</v>
      </c>
      <c r="H887">
        <f>IF(COUNTIFS(B$2:B887,B887,E$2:E887,E887)=1,1,0)</f>
        <v>0</v>
      </c>
      <c r="I887">
        <f>IF(COUNTIFS(B$2:B887,B887,F$2:F887,F887)=1,1,0)</f>
        <v>0</v>
      </c>
    </row>
    <row r="888" spans="1:9" x14ac:dyDescent="0.3">
      <c r="A888">
        <v>898</v>
      </c>
      <c r="B888">
        <v>82</v>
      </c>
      <c r="C888" s="2">
        <v>44880.004328703704</v>
      </c>
      <c r="D888" s="2">
        <v>44880.010474537034</v>
      </c>
      <c r="E888" s="3">
        <f t="shared" si="39"/>
        <v>44880</v>
      </c>
      <c r="F888">
        <f t="shared" si="40"/>
        <v>11</v>
      </c>
      <c r="G888" s="4">
        <f t="shared" si="41"/>
        <v>8.8499999942723662</v>
      </c>
      <c r="H888">
        <f>IF(COUNTIFS(B$2:B888,B888,E$2:E888,E888)=1,1,0)</f>
        <v>1</v>
      </c>
      <c r="I888">
        <f>IF(COUNTIFS(B$2:B888,B888,F$2:F888,F888)=1,1,0)</f>
        <v>0</v>
      </c>
    </row>
    <row r="889" spans="1:9" x14ac:dyDescent="0.3">
      <c r="A889">
        <v>899</v>
      </c>
      <c r="B889">
        <v>82</v>
      </c>
      <c r="C889" s="2">
        <v>44880.265798611108</v>
      </c>
      <c r="D889" s="2">
        <v>44880.271145833336</v>
      </c>
      <c r="E889" s="3">
        <f t="shared" si="39"/>
        <v>44880</v>
      </c>
      <c r="F889">
        <f t="shared" si="40"/>
        <v>11</v>
      </c>
      <c r="G889" s="4">
        <f t="shared" si="41"/>
        <v>7.700000008335337</v>
      </c>
      <c r="H889">
        <f>IF(COUNTIFS(B$2:B889,B889,E$2:E889,E889)=1,1,0)</f>
        <v>0</v>
      </c>
      <c r="I889">
        <f>IF(COUNTIFS(B$2:B889,B889,F$2:F889,F889)=1,1,0)</f>
        <v>0</v>
      </c>
    </row>
    <row r="890" spans="1:9" x14ac:dyDescent="0.3">
      <c r="A890">
        <v>900</v>
      </c>
      <c r="B890">
        <v>82</v>
      </c>
      <c r="C890" s="2">
        <v>44880.460497685184</v>
      </c>
      <c r="D890" s="2">
        <v>44880.469201388885</v>
      </c>
      <c r="E890" s="3">
        <f t="shared" si="39"/>
        <v>44880</v>
      </c>
      <c r="F890">
        <f t="shared" si="40"/>
        <v>11</v>
      </c>
      <c r="G890" s="4">
        <f t="shared" si="41"/>
        <v>12.533333329483867</v>
      </c>
      <c r="H890">
        <f>IF(COUNTIFS(B$2:B890,B890,E$2:E890,E890)=1,1,0)</f>
        <v>0</v>
      </c>
      <c r="I890">
        <f>IF(COUNTIFS(B$2:B890,B890,F$2:F890,F890)=1,1,0)</f>
        <v>0</v>
      </c>
    </row>
    <row r="891" spans="1:9" x14ac:dyDescent="0.3">
      <c r="A891">
        <v>901</v>
      </c>
      <c r="B891">
        <v>82</v>
      </c>
      <c r="C891" s="2">
        <v>44880.554988425924</v>
      </c>
      <c r="D891" s="2">
        <v>44880.561655092592</v>
      </c>
      <c r="E891" s="3">
        <f t="shared" si="39"/>
        <v>44880</v>
      </c>
      <c r="F891">
        <f t="shared" si="40"/>
        <v>11</v>
      </c>
      <c r="G891" s="4">
        <f t="shared" si="41"/>
        <v>9.6000000019557774</v>
      </c>
      <c r="H891">
        <f>IF(COUNTIFS(B$2:B891,B891,E$2:E891,E891)=1,1,0)</f>
        <v>0</v>
      </c>
      <c r="I891">
        <f>IF(COUNTIFS(B$2:B891,B891,F$2:F891,F891)=1,1,0)</f>
        <v>0</v>
      </c>
    </row>
    <row r="892" spans="1:9" x14ac:dyDescent="0.3">
      <c r="A892">
        <v>902</v>
      </c>
      <c r="B892">
        <v>82</v>
      </c>
      <c r="C892" s="2">
        <v>44880.899571759262</v>
      </c>
      <c r="D892" s="2">
        <v>44880.910358796296</v>
      </c>
      <c r="E892" s="3">
        <f t="shared" si="39"/>
        <v>44880</v>
      </c>
      <c r="F892">
        <f t="shared" si="40"/>
        <v>11</v>
      </c>
      <c r="G892" s="4">
        <f t="shared" si="41"/>
        <v>15.533333328785375</v>
      </c>
      <c r="H892">
        <f>IF(COUNTIFS(B$2:B892,B892,E$2:E892,E892)=1,1,0)</f>
        <v>0</v>
      </c>
      <c r="I892">
        <f>IF(COUNTIFS(B$2:B892,B892,F$2:F892,F892)=1,1,0)</f>
        <v>0</v>
      </c>
    </row>
    <row r="893" spans="1:9" x14ac:dyDescent="0.3">
      <c r="A893">
        <v>903</v>
      </c>
      <c r="B893">
        <v>82</v>
      </c>
      <c r="C893" s="2">
        <v>44881.161689814813</v>
      </c>
      <c r="D893" s="2">
        <v>44881.168877314813</v>
      </c>
      <c r="E893" s="3">
        <f t="shared" si="39"/>
        <v>44881</v>
      </c>
      <c r="F893">
        <f t="shared" si="40"/>
        <v>11</v>
      </c>
      <c r="G893" s="4">
        <f t="shared" si="41"/>
        <v>10.34999999916181</v>
      </c>
      <c r="H893">
        <f>IF(COUNTIFS(B$2:B893,B893,E$2:E893,E893)=1,1,0)</f>
        <v>1</v>
      </c>
      <c r="I893">
        <f>IF(COUNTIFS(B$2:B893,B893,F$2:F893,F893)=1,1,0)</f>
        <v>0</v>
      </c>
    </row>
    <row r="894" spans="1:9" x14ac:dyDescent="0.3">
      <c r="A894">
        <v>904</v>
      </c>
      <c r="B894">
        <v>82</v>
      </c>
      <c r="C894" s="2">
        <v>44881.353506944448</v>
      </c>
      <c r="D894" s="2">
        <v>44881.363807870373</v>
      </c>
      <c r="E894" s="3">
        <f t="shared" si="39"/>
        <v>44881</v>
      </c>
      <c r="F894">
        <f t="shared" si="40"/>
        <v>11</v>
      </c>
      <c r="G894" s="4">
        <f t="shared" si="41"/>
        <v>14.833333332790062</v>
      </c>
      <c r="H894">
        <f>IF(COUNTIFS(B$2:B894,B894,E$2:E894,E894)=1,1,0)</f>
        <v>0</v>
      </c>
      <c r="I894">
        <f>IF(COUNTIFS(B$2:B894,B894,F$2:F894,F894)=1,1,0)</f>
        <v>0</v>
      </c>
    </row>
    <row r="895" spans="1:9" x14ac:dyDescent="0.3">
      <c r="A895">
        <v>905</v>
      </c>
      <c r="B895">
        <v>82</v>
      </c>
      <c r="C895" s="2">
        <v>44881.441365740742</v>
      </c>
      <c r="D895" s="2">
        <v>44881.444374999999</v>
      </c>
      <c r="E895" s="3">
        <f t="shared" si="39"/>
        <v>44881</v>
      </c>
      <c r="F895">
        <f t="shared" si="40"/>
        <v>11</v>
      </c>
      <c r="G895" s="4">
        <f t="shared" si="41"/>
        <v>4.3333333299960941</v>
      </c>
      <c r="H895">
        <f>IF(COUNTIFS(B$2:B895,B895,E$2:E895,E895)=1,1,0)</f>
        <v>0</v>
      </c>
      <c r="I895">
        <f>IF(COUNTIFS(B$2:B895,B895,F$2:F895,F895)=1,1,0)</f>
        <v>0</v>
      </c>
    </row>
    <row r="896" spans="1:9" x14ac:dyDescent="0.3">
      <c r="A896">
        <v>906</v>
      </c>
      <c r="B896">
        <v>82</v>
      </c>
      <c r="C896" s="2">
        <v>44881.5859375</v>
      </c>
      <c r="D896" s="2">
        <v>44881.593391203707</v>
      </c>
      <c r="E896" s="3">
        <f t="shared" si="39"/>
        <v>44881</v>
      </c>
      <c r="F896">
        <f t="shared" si="40"/>
        <v>11</v>
      </c>
      <c r="G896" s="4">
        <f t="shared" si="41"/>
        <v>10.733333338284865</v>
      </c>
      <c r="H896">
        <f>IF(COUNTIFS(B$2:B896,B896,E$2:E896,E896)=1,1,0)</f>
        <v>0</v>
      </c>
      <c r="I896">
        <f>IF(COUNTIFS(B$2:B896,B896,F$2:F896,F896)=1,1,0)</f>
        <v>0</v>
      </c>
    </row>
    <row r="897" spans="1:9" x14ac:dyDescent="0.3">
      <c r="A897">
        <v>907</v>
      </c>
      <c r="B897">
        <v>82</v>
      </c>
      <c r="C897" s="2">
        <v>44881.918298611112</v>
      </c>
      <c r="D897" s="2">
        <v>44881.923437500001</v>
      </c>
      <c r="E897" s="3">
        <f t="shared" si="39"/>
        <v>44881</v>
      </c>
      <c r="F897">
        <f t="shared" si="40"/>
        <v>11</v>
      </c>
      <c r="G897" s="4">
        <f t="shared" si="41"/>
        <v>7.400000001071021</v>
      </c>
      <c r="H897">
        <f>IF(COUNTIFS(B$2:B897,B897,E$2:E897,E897)=1,1,0)</f>
        <v>0</v>
      </c>
      <c r="I897">
        <f>IF(COUNTIFS(B$2:B897,B897,F$2:F897,F897)=1,1,0)</f>
        <v>0</v>
      </c>
    </row>
    <row r="898" spans="1:9" x14ac:dyDescent="0.3">
      <c r="A898">
        <v>908</v>
      </c>
      <c r="B898">
        <v>82</v>
      </c>
      <c r="C898" s="2">
        <v>44881.993969907409</v>
      </c>
      <c r="D898" s="2">
        <v>44881.998553240737</v>
      </c>
      <c r="E898" s="3">
        <f t="shared" ref="E898:E961" si="42">INT(C898)</f>
        <v>44881</v>
      </c>
      <c r="F898">
        <f t="shared" ref="F898:F961" si="43">MONTH(C898)</f>
        <v>11</v>
      </c>
      <c r="G898" s="4">
        <f t="shared" ref="G898:G961" si="44">(D898-C898)*1440</f>
        <v>6.5999999921768904</v>
      </c>
      <c r="H898">
        <f>IF(COUNTIFS(B$2:B898,B898,E$2:E898,E898)=1,1,0)</f>
        <v>0</v>
      </c>
      <c r="I898">
        <f>IF(COUNTIFS(B$2:B898,B898,F$2:F898,F898)=1,1,0)</f>
        <v>0</v>
      </c>
    </row>
    <row r="899" spans="1:9" x14ac:dyDescent="0.3">
      <c r="A899">
        <v>909</v>
      </c>
      <c r="B899">
        <v>82</v>
      </c>
      <c r="C899" s="2">
        <v>44882.302604166667</v>
      </c>
      <c r="D899" s="2">
        <v>44882.309756944444</v>
      </c>
      <c r="E899" s="3">
        <f t="shared" si="42"/>
        <v>44882</v>
      </c>
      <c r="F899">
        <f t="shared" si="43"/>
        <v>11</v>
      </c>
      <c r="G899" s="4">
        <f t="shared" si="44"/>
        <v>10.29999999795109</v>
      </c>
      <c r="H899">
        <f>IF(COUNTIFS(B$2:B899,B899,E$2:E899,E899)=1,1,0)</f>
        <v>1</v>
      </c>
      <c r="I899">
        <f>IF(COUNTIFS(B$2:B899,B899,F$2:F899,F899)=1,1,0)</f>
        <v>0</v>
      </c>
    </row>
    <row r="900" spans="1:9" x14ac:dyDescent="0.3">
      <c r="A900">
        <v>910</v>
      </c>
      <c r="B900">
        <v>82</v>
      </c>
      <c r="C900" s="2">
        <v>44882.394421296296</v>
      </c>
      <c r="D900" s="2">
        <v>44882.402604166666</v>
      </c>
      <c r="E900" s="3">
        <f t="shared" si="42"/>
        <v>44882</v>
      </c>
      <c r="F900">
        <f t="shared" si="43"/>
        <v>11</v>
      </c>
      <c r="G900" s="4">
        <f t="shared" si="44"/>
        <v>11.783333332277834</v>
      </c>
      <c r="H900">
        <f>IF(COUNTIFS(B$2:B900,B900,E$2:E900,E900)=1,1,0)</f>
        <v>0</v>
      </c>
      <c r="I900">
        <f>IF(COUNTIFS(B$2:B900,B900,F$2:F900,F900)=1,1,0)</f>
        <v>0</v>
      </c>
    </row>
    <row r="901" spans="1:9" x14ac:dyDescent="0.3">
      <c r="A901">
        <v>911</v>
      </c>
      <c r="B901">
        <v>82</v>
      </c>
      <c r="C901" s="2">
        <v>44882.673877314817</v>
      </c>
      <c r="D901" s="2">
        <v>44882.679351851853</v>
      </c>
      <c r="E901" s="3">
        <f t="shared" si="42"/>
        <v>44882</v>
      </c>
      <c r="F901">
        <f t="shared" si="43"/>
        <v>11</v>
      </c>
      <c r="G901" s="4">
        <f t="shared" si="44"/>
        <v>7.883333332138136</v>
      </c>
      <c r="H901">
        <f>IF(COUNTIFS(B$2:B901,B901,E$2:E901,E901)=1,1,0)</f>
        <v>0</v>
      </c>
      <c r="I901">
        <f>IF(COUNTIFS(B$2:B901,B901,F$2:F901,F901)=1,1,0)</f>
        <v>0</v>
      </c>
    </row>
    <row r="902" spans="1:9" x14ac:dyDescent="0.3">
      <c r="A902">
        <v>912</v>
      </c>
      <c r="B902">
        <v>82</v>
      </c>
      <c r="C902" s="2">
        <v>44882.969467592593</v>
      </c>
      <c r="D902" s="2">
        <v>44882.976226851853</v>
      </c>
      <c r="E902" s="3">
        <f t="shared" si="42"/>
        <v>44882</v>
      </c>
      <c r="F902">
        <f t="shared" si="43"/>
        <v>11</v>
      </c>
      <c r="G902" s="4">
        <f t="shared" si="44"/>
        <v>9.733333335025236</v>
      </c>
      <c r="H902">
        <f>IF(COUNTIFS(B$2:B902,B902,E$2:E902,E902)=1,1,0)</f>
        <v>0</v>
      </c>
      <c r="I902">
        <f>IF(COUNTIFS(B$2:B902,B902,F$2:F902,F902)=1,1,0)</f>
        <v>0</v>
      </c>
    </row>
    <row r="903" spans="1:9" x14ac:dyDescent="0.3">
      <c r="A903">
        <v>913</v>
      </c>
      <c r="B903">
        <v>82</v>
      </c>
      <c r="C903" s="2">
        <v>44883.017997685187</v>
      </c>
      <c r="D903" s="2">
        <v>44883.024988425925</v>
      </c>
      <c r="E903" s="3">
        <f t="shared" si="42"/>
        <v>44883</v>
      </c>
      <c r="F903">
        <f t="shared" si="43"/>
        <v>11</v>
      </c>
      <c r="G903" s="4">
        <f t="shared" si="44"/>
        <v>10.066666662460193</v>
      </c>
      <c r="H903">
        <f>IF(COUNTIFS(B$2:B903,B903,E$2:E903,E903)=1,1,0)</f>
        <v>1</v>
      </c>
      <c r="I903">
        <f>IF(COUNTIFS(B$2:B903,B903,F$2:F903,F903)=1,1,0)</f>
        <v>0</v>
      </c>
    </row>
    <row r="904" spans="1:9" x14ac:dyDescent="0.3">
      <c r="A904">
        <v>914</v>
      </c>
      <c r="B904">
        <v>82</v>
      </c>
      <c r="C904" s="2">
        <v>44883.28466435185</v>
      </c>
      <c r="D904" s="2">
        <v>44883.294583333336</v>
      </c>
      <c r="E904" s="3">
        <f t="shared" si="42"/>
        <v>44883</v>
      </c>
      <c r="F904">
        <f t="shared" si="43"/>
        <v>11</v>
      </c>
      <c r="G904" s="4">
        <f t="shared" si="44"/>
        <v>14.283333340426907</v>
      </c>
      <c r="H904">
        <f>IF(COUNTIFS(B$2:B904,B904,E$2:E904,E904)=1,1,0)</f>
        <v>0</v>
      </c>
      <c r="I904">
        <f>IF(COUNTIFS(B$2:B904,B904,F$2:F904,F904)=1,1,0)</f>
        <v>0</v>
      </c>
    </row>
    <row r="905" spans="1:9" x14ac:dyDescent="0.3">
      <c r="A905">
        <v>915</v>
      </c>
      <c r="B905">
        <v>82</v>
      </c>
      <c r="C905" s="2">
        <v>44883.402129629627</v>
      </c>
      <c r="D905" s="2">
        <v>44883.405949074076</v>
      </c>
      <c r="E905" s="3">
        <f t="shared" si="42"/>
        <v>44883</v>
      </c>
      <c r="F905">
        <f t="shared" si="43"/>
        <v>11</v>
      </c>
      <c r="G905" s="4">
        <f t="shared" si="44"/>
        <v>5.5000000074505806</v>
      </c>
      <c r="H905">
        <f>IF(COUNTIFS(B$2:B905,B905,E$2:E905,E905)=1,1,0)</f>
        <v>0</v>
      </c>
      <c r="I905">
        <f>IF(COUNTIFS(B$2:B905,B905,F$2:F905,F905)=1,1,0)</f>
        <v>0</v>
      </c>
    </row>
    <row r="906" spans="1:9" x14ac:dyDescent="0.3">
      <c r="A906">
        <v>916</v>
      </c>
      <c r="B906">
        <v>82</v>
      </c>
      <c r="C906" s="2">
        <v>44883.724629629629</v>
      </c>
      <c r="D906" s="2">
        <v>44883.732129629629</v>
      </c>
      <c r="E906" s="3">
        <f t="shared" si="42"/>
        <v>44883</v>
      </c>
      <c r="F906">
        <f t="shared" si="43"/>
        <v>11</v>
      </c>
      <c r="G906" s="4">
        <f t="shared" si="44"/>
        <v>10.799999999580905</v>
      </c>
      <c r="H906">
        <f>IF(COUNTIFS(B$2:B906,B906,E$2:E906,E906)=1,1,0)</f>
        <v>0</v>
      </c>
      <c r="I906">
        <f>IF(COUNTIFS(B$2:B906,B906,F$2:F906,F906)=1,1,0)</f>
        <v>0</v>
      </c>
    </row>
    <row r="907" spans="1:9" x14ac:dyDescent="0.3">
      <c r="A907">
        <v>917</v>
      </c>
      <c r="B907">
        <v>82</v>
      </c>
      <c r="C907" s="2">
        <v>44883.794606481482</v>
      </c>
      <c r="D907" s="2">
        <v>44883.8046875</v>
      </c>
      <c r="E907" s="3">
        <f t="shared" si="42"/>
        <v>44883</v>
      </c>
      <c r="F907">
        <f t="shared" si="43"/>
        <v>11</v>
      </c>
      <c r="G907" s="4">
        <f t="shared" si="44"/>
        <v>14.516666665440425</v>
      </c>
      <c r="H907">
        <f>IF(COUNTIFS(B$2:B907,B907,E$2:E907,E907)=1,1,0)</f>
        <v>0</v>
      </c>
      <c r="I907">
        <f>IF(COUNTIFS(B$2:B907,B907,F$2:F907,F907)=1,1,0)</f>
        <v>0</v>
      </c>
    </row>
    <row r="908" spans="1:9" x14ac:dyDescent="0.3">
      <c r="A908">
        <v>918</v>
      </c>
      <c r="B908">
        <v>82</v>
      </c>
      <c r="C908" s="2">
        <v>44884.132337962961</v>
      </c>
      <c r="D908" s="2">
        <v>44884.139930555553</v>
      </c>
      <c r="E908" s="3">
        <f t="shared" si="42"/>
        <v>44884</v>
      </c>
      <c r="F908">
        <f t="shared" si="43"/>
        <v>11</v>
      </c>
      <c r="G908" s="4">
        <f t="shared" si="44"/>
        <v>10.933333332650363</v>
      </c>
      <c r="H908">
        <f>IF(COUNTIFS(B$2:B908,B908,E$2:E908,E908)=1,1,0)</f>
        <v>1</v>
      </c>
      <c r="I908">
        <f>IF(COUNTIFS(B$2:B908,B908,F$2:F908,F908)=1,1,0)</f>
        <v>0</v>
      </c>
    </row>
    <row r="909" spans="1:9" x14ac:dyDescent="0.3">
      <c r="A909">
        <v>919</v>
      </c>
      <c r="B909">
        <v>82</v>
      </c>
      <c r="C909" s="2">
        <v>44884.253657407404</v>
      </c>
      <c r="D909" s="2">
        <v>44884.262835648151</v>
      </c>
      <c r="E909" s="3">
        <f t="shared" si="42"/>
        <v>44884</v>
      </c>
      <c r="F909">
        <f t="shared" si="43"/>
        <v>11</v>
      </c>
      <c r="G909" s="4">
        <f t="shared" si="44"/>
        <v>13.216666675871238</v>
      </c>
      <c r="H909">
        <f>IF(COUNTIFS(B$2:B909,B909,E$2:E909,E909)=1,1,0)</f>
        <v>0</v>
      </c>
      <c r="I909">
        <f>IF(COUNTIFS(B$2:B909,B909,F$2:F909,F909)=1,1,0)</f>
        <v>0</v>
      </c>
    </row>
    <row r="910" spans="1:9" x14ac:dyDescent="0.3">
      <c r="A910">
        <v>920</v>
      </c>
      <c r="B910">
        <v>82</v>
      </c>
      <c r="C910" s="2">
        <v>44884.320798611108</v>
      </c>
      <c r="D910" s="2">
        <v>44884.330254629633</v>
      </c>
      <c r="E910" s="3">
        <f t="shared" si="42"/>
        <v>44884</v>
      </c>
      <c r="F910">
        <f t="shared" si="43"/>
        <v>11</v>
      </c>
      <c r="G910" s="4">
        <f t="shared" si="44"/>
        <v>13.616666675079614</v>
      </c>
      <c r="H910">
        <f>IF(COUNTIFS(B$2:B910,B910,E$2:E910,E910)=1,1,0)</f>
        <v>0</v>
      </c>
      <c r="I910">
        <f>IF(COUNTIFS(B$2:B910,B910,F$2:F910,F910)=1,1,0)</f>
        <v>0</v>
      </c>
    </row>
    <row r="911" spans="1:9" x14ac:dyDescent="0.3">
      <c r="A911">
        <v>921</v>
      </c>
      <c r="B911">
        <v>82</v>
      </c>
      <c r="C911" s="2">
        <v>44884.426759259259</v>
      </c>
      <c r="D911" s="2">
        <v>44884.430162037039</v>
      </c>
      <c r="E911" s="3">
        <f t="shared" si="42"/>
        <v>44884</v>
      </c>
      <c r="F911">
        <f t="shared" si="43"/>
        <v>11</v>
      </c>
      <c r="G911" s="4">
        <f t="shared" si="44"/>
        <v>4.9000000033993274</v>
      </c>
      <c r="H911">
        <f>IF(COUNTIFS(B$2:B911,B911,E$2:E911,E911)=1,1,0)</f>
        <v>0</v>
      </c>
      <c r="I911">
        <f>IF(COUNTIFS(B$2:B911,B911,F$2:F911,F911)=1,1,0)</f>
        <v>0</v>
      </c>
    </row>
    <row r="912" spans="1:9" x14ac:dyDescent="0.3">
      <c r="A912">
        <v>922</v>
      </c>
      <c r="B912">
        <v>82</v>
      </c>
      <c r="C912" s="2">
        <v>44884.697430555556</v>
      </c>
      <c r="D912" s="2">
        <v>44884.701516203706</v>
      </c>
      <c r="E912" s="3">
        <f t="shared" si="42"/>
        <v>44884</v>
      </c>
      <c r="F912">
        <f t="shared" si="43"/>
        <v>11</v>
      </c>
      <c r="G912" s="4">
        <f t="shared" si="44"/>
        <v>5.883333336096257</v>
      </c>
      <c r="H912">
        <f>IF(COUNTIFS(B$2:B912,B912,E$2:E912,E912)=1,1,0)</f>
        <v>0</v>
      </c>
      <c r="I912">
        <f>IF(COUNTIFS(B$2:B912,B912,F$2:F912,F912)=1,1,0)</f>
        <v>0</v>
      </c>
    </row>
    <row r="913" spans="1:9" x14ac:dyDescent="0.3">
      <c r="A913">
        <v>923</v>
      </c>
      <c r="B913">
        <v>82</v>
      </c>
      <c r="C913" s="2">
        <v>44884.829131944447</v>
      </c>
      <c r="D913" s="2">
        <v>44884.833437499998</v>
      </c>
      <c r="E913" s="3">
        <f t="shared" si="42"/>
        <v>44884</v>
      </c>
      <c r="F913">
        <f t="shared" si="43"/>
        <v>11</v>
      </c>
      <c r="G913" s="4">
        <f t="shared" si="44"/>
        <v>6.1999999929685146</v>
      </c>
      <c r="H913">
        <f>IF(COUNTIFS(B$2:B913,B913,E$2:E913,E913)=1,1,0)</f>
        <v>0</v>
      </c>
      <c r="I913">
        <f>IF(COUNTIFS(B$2:B913,B913,F$2:F913,F913)=1,1,0)</f>
        <v>0</v>
      </c>
    </row>
    <row r="914" spans="1:9" x14ac:dyDescent="0.3">
      <c r="A914">
        <v>924</v>
      </c>
      <c r="B914">
        <v>82</v>
      </c>
      <c r="C914" s="2">
        <v>44884.874907407408</v>
      </c>
      <c r="D914" s="2">
        <v>44884.880486111113</v>
      </c>
      <c r="E914" s="3">
        <f t="shared" si="42"/>
        <v>44884</v>
      </c>
      <c r="F914">
        <f t="shared" si="43"/>
        <v>11</v>
      </c>
      <c r="G914" s="4">
        <f t="shared" si="44"/>
        <v>8.0333333357702941</v>
      </c>
      <c r="H914">
        <f>IF(COUNTIFS(B$2:B914,B914,E$2:E914,E914)=1,1,0)</f>
        <v>0</v>
      </c>
      <c r="I914">
        <f>IF(COUNTIFS(B$2:B914,B914,F$2:F914,F914)=1,1,0)</f>
        <v>0</v>
      </c>
    </row>
    <row r="915" spans="1:9" x14ac:dyDescent="0.3">
      <c r="A915">
        <v>925</v>
      </c>
      <c r="B915">
        <v>82</v>
      </c>
      <c r="C915" s="2">
        <v>44884.946516203701</v>
      </c>
      <c r="D915" s="2">
        <v>44884.950474537036</v>
      </c>
      <c r="E915" s="3">
        <f t="shared" si="42"/>
        <v>44884</v>
      </c>
      <c r="F915">
        <f t="shared" si="43"/>
        <v>11</v>
      </c>
      <c r="G915" s="4">
        <f t="shared" si="44"/>
        <v>5.700000001816079</v>
      </c>
      <c r="H915">
        <f>IF(COUNTIFS(B$2:B915,B915,E$2:E915,E915)=1,1,0)</f>
        <v>0</v>
      </c>
      <c r="I915">
        <f>IF(COUNTIFS(B$2:B915,B915,F$2:F915,F915)=1,1,0)</f>
        <v>0</v>
      </c>
    </row>
    <row r="916" spans="1:9" x14ac:dyDescent="0.3">
      <c r="A916">
        <v>926</v>
      </c>
      <c r="B916">
        <v>82</v>
      </c>
      <c r="C916" s="2">
        <v>44885.261458333334</v>
      </c>
      <c r="D916" s="2">
        <v>44885.263553240744</v>
      </c>
      <c r="E916" s="3">
        <f t="shared" si="42"/>
        <v>44885</v>
      </c>
      <c r="F916">
        <f t="shared" si="43"/>
        <v>11</v>
      </c>
      <c r="G916" s="4">
        <f t="shared" si="44"/>
        <v>3.0166666698642075</v>
      </c>
      <c r="H916">
        <f>IF(COUNTIFS(B$2:B916,B916,E$2:E916,E916)=1,1,0)</f>
        <v>1</v>
      </c>
      <c r="I916">
        <f>IF(COUNTIFS(B$2:B916,B916,F$2:F916,F916)=1,1,0)</f>
        <v>0</v>
      </c>
    </row>
    <row r="917" spans="1:9" x14ac:dyDescent="0.3">
      <c r="A917">
        <v>927</v>
      </c>
      <c r="B917">
        <v>82</v>
      </c>
      <c r="C917" s="2">
        <v>44885.434594907405</v>
      </c>
      <c r="D917" s="2">
        <v>44885.439201388886</v>
      </c>
      <c r="E917" s="3">
        <f t="shared" si="42"/>
        <v>44885</v>
      </c>
      <c r="F917">
        <f t="shared" si="43"/>
        <v>11</v>
      </c>
      <c r="G917" s="4">
        <f t="shared" si="44"/>
        <v>6.6333333333022892</v>
      </c>
      <c r="H917">
        <f>IF(COUNTIFS(B$2:B917,B917,E$2:E917,E917)=1,1,0)</f>
        <v>0</v>
      </c>
      <c r="I917">
        <f>IF(COUNTIFS(B$2:B917,B917,F$2:F917,F917)=1,1,0)</f>
        <v>0</v>
      </c>
    </row>
    <row r="918" spans="1:9" x14ac:dyDescent="0.3">
      <c r="A918">
        <v>928</v>
      </c>
      <c r="B918">
        <v>82</v>
      </c>
      <c r="C918" s="2">
        <v>44885.584560185183</v>
      </c>
      <c r="D918" s="2">
        <v>44885.590775462966</v>
      </c>
      <c r="E918" s="3">
        <f t="shared" si="42"/>
        <v>44885</v>
      </c>
      <c r="F918">
        <f t="shared" si="43"/>
        <v>11</v>
      </c>
      <c r="G918" s="4">
        <f t="shared" si="44"/>
        <v>8.9500000071711838</v>
      </c>
      <c r="H918">
        <f>IF(COUNTIFS(B$2:B918,B918,E$2:E918,E918)=1,1,0)</f>
        <v>0</v>
      </c>
      <c r="I918">
        <f>IF(COUNTIFS(B$2:B918,B918,F$2:F918,F918)=1,1,0)</f>
        <v>0</v>
      </c>
    </row>
    <row r="919" spans="1:9" x14ac:dyDescent="0.3">
      <c r="A919">
        <v>929</v>
      </c>
      <c r="B919">
        <v>82</v>
      </c>
      <c r="C919" s="2">
        <v>44885.799525462964</v>
      </c>
      <c r="D919" s="2">
        <v>44885.805509259262</v>
      </c>
      <c r="E919" s="3">
        <f t="shared" si="42"/>
        <v>44885</v>
      </c>
      <c r="F919">
        <f t="shared" si="43"/>
        <v>11</v>
      </c>
      <c r="G919" s="4">
        <f t="shared" si="44"/>
        <v>8.6166666692588478</v>
      </c>
      <c r="H919">
        <f>IF(COUNTIFS(B$2:B919,B919,E$2:E919,E919)=1,1,0)</f>
        <v>0</v>
      </c>
      <c r="I919">
        <f>IF(COUNTIFS(B$2:B919,B919,F$2:F919,F919)=1,1,0)</f>
        <v>0</v>
      </c>
    </row>
    <row r="920" spans="1:9" x14ac:dyDescent="0.3">
      <c r="A920">
        <v>930</v>
      </c>
      <c r="B920">
        <v>82</v>
      </c>
      <c r="C920" s="2">
        <v>44886.025081018517</v>
      </c>
      <c r="D920" s="2">
        <v>44886.028333333335</v>
      </c>
      <c r="E920" s="3">
        <f t="shared" si="42"/>
        <v>44886</v>
      </c>
      <c r="F920">
        <f t="shared" si="43"/>
        <v>11</v>
      </c>
      <c r="G920" s="4">
        <f t="shared" si="44"/>
        <v>4.6833333384711295</v>
      </c>
      <c r="H920">
        <f>IF(COUNTIFS(B$2:B920,B920,E$2:E920,E920)=1,1,0)</f>
        <v>1</v>
      </c>
      <c r="I920">
        <f>IF(COUNTIFS(B$2:B920,B920,F$2:F920,F920)=1,1,0)</f>
        <v>0</v>
      </c>
    </row>
    <row r="921" spans="1:9" x14ac:dyDescent="0.3">
      <c r="A921">
        <v>931</v>
      </c>
      <c r="B921">
        <v>82</v>
      </c>
      <c r="C921" s="2">
        <v>44886.129386574074</v>
      </c>
      <c r="D921" s="2">
        <v>44886.132824074077</v>
      </c>
      <c r="E921" s="3">
        <f t="shared" si="42"/>
        <v>44886</v>
      </c>
      <c r="F921">
        <f t="shared" si="43"/>
        <v>11</v>
      </c>
      <c r="G921" s="4">
        <f t="shared" si="44"/>
        <v>4.9500000046100467</v>
      </c>
      <c r="H921">
        <f>IF(COUNTIFS(B$2:B921,B921,E$2:E921,E921)=1,1,0)</f>
        <v>0</v>
      </c>
      <c r="I921">
        <f>IF(COUNTIFS(B$2:B921,B921,F$2:F921,F921)=1,1,0)</f>
        <v>0</v>
      </c>
    </row>
    <row r="922" spans="1:9" x14ac:dyDescent="0.3">
      <c r="A922">
        <v>932</v>
      </c>
      <c r="B922">
        <v>82</v>
      </c>
      <c r="C922" s="2">
        <v>44886.432453703703</v>
      </c>
      <c r="D922" s="2">
        <v>44886.439722222225</v>
      </c>
      <c r="E922" s="3">
        <f t="shared" si="42"/>
        <v>44886</v>
      </c>
      <c r="F922">
        <f t="shared" si="43"/>
        <v>11</v>
      </c>
      <c r="G922" s="4">
        <f t="shared" si="44"/>
        <v>10.466666672145948</v>
      </c>
      <c r="H922">
        <f>IF(COUNTIFS(B$2:B922,B922,E$2:E922,E922)=1,1,0)</f>
        <v>0</v>
      </c>
      <c r="I922">
        <f>IF(COUNTIFS(B$2:B922,B922,F$2:F922,F922)=1,1,0)</f>
        <v>0</v>
      </c>
    </row>
    <row r="923" spans="1:9" x14ac:dyDescent="0.3">
      <c r="A923">
        <v>933</v>
      </c>
      <c r="B923">
        <v>82</v>
      </c>
      <c r="C923" s="2">
        <v>44886.763831018521</v>
      </c>
      <c r="D923" s="2">
        <v>44886.768206018518</v>
      </c>
      <c r="E923" s="3">
        <f t="shared" si="42"/>
        <v>44886</v>
      </c>
      <c r="F923">
        <f t="shared" si="43"/>
        <v>11</v>
      </c>
      <c r="G923" s="4">
        <f t="shared" si="44"/>
        <v>6.2999999953899533</v>
      </c>
      <c r="H923">
        <f>IF(COUNTIFS(B$2:B923,B923,E$2:E923,E923)=1,1,0)</f>
        <v>0</v>
      </c>
      <c r="I923">
        <f>IF(COUNTIFS(B$2:B923,B923,F$2:F923,F923)=1,1,0)</f>
        <v>0</v>
      </c>
    </row>
    <row r="924" spans="1:9" x14ac:dyDescent="0.3">
      <c r="A924">
        <v>934</v>
      </c>
      <c r="B924">
        <v>82</v>
      </c>
      <c r="C924" s="2">
        <v>44886.838020833333</v>
      </c>
      <c r="D924" s="2">
        <v>44886.843252314815</v>
      </c>
      <c r="E924" s="3">
        <f t="shared" si="42"/>
        <v>44886</v>
      </c>
      <c r="F924">
        <f t="shared" si="43"/>
        <v>11</v>
      </c>
      <c r="G924" s="4">
        <f t="shared" si="44"/>
        <v>7.5333333341404796</v>
      </c>
      <c r="H924">
        <f>IF(COUNTIFS(B$2:B924,B924,E$2:E924,E924)=1,1,0)</f>
        <v>0</v>
      </c>
      <c r="I924">
        <f>IF(COUNTIFS(B$2:B924,B924,F$2:F924,F924)=1,1,0)</f>
        <v>0</v>
      </c>
    </row>
    <row r="925" spans="1:9" x14ac:dyDescent="0.3">
      <c r="A925">
        <v>935</v>
      </c>
      <c r="B925">
        <v>82</v>
      </c>
      <c r="C925" s="2">
        <v>44886.903333333335</v>
      </c>
      <c r="D925" s="2">
        <v>44886.910509259258</v>
      </c>
      <c r="E925" s="3">
        <f t="shared" si="42"/>
        <v>44886</v>
      </c>
      <c r="F925">
        <f t="shared" si="43"/>
        <v>11</v>
      </c>
      <c r="G925" s="4">
        <f t="shared" si="44"/>
        <v>10.33333332859911</v>
      </c>
      <c r="H925">
        <f>IF(COUNTIFS(B$2:B925,B925,E$2:E925,E925)=1,1,0)</f>
        <v>0</v>
      </c>
      <c r="I925">
        <f>IF(COUNTIFS(B$2:B925,B925,F$2:F925,F925)=1,1,0)</f>
        <v>0</v>
      </c>
    </row>
    <row r="926" spans="1:9" x14ac:dyDescent="0.3">
      <c r="A926">
        <v>936</v>
      </c>
      <c r="B926">
        <v>82</v>
      </c>
      <c r="C926" s="2">
        <v>44887.061307870368</v>
      </c>
      <c r="D926" s="2">
        <v>44887.068599537037</v>
      </c>
      <c r="E926" s="3">
        <f t="shared" si="42"/>
        <v>44887</v>
      </c>
      <c r="F926">
        <f t="shared" si="43"/>
        <v>11</v>
      </c>
      <c r="G926" s="4">
        <f t="shared" si="44"/>
        <v>10.500000002793968</v>
      </c>
      <c r="H926">
        <f>IF(COUNTIFS(B$2:B926,B926,E$2:E926,E926)=1,1,0)</f>
        <v>1</v>
      </c>
      <c r="I926">
        <f>IF(COUNTIFS(B$2:B926,B926,F$2:F926,F926)=1,1,0)</f>
        <v>0</v>
      </c>
    </row>
    <row r="927" spans="1:9" x14ac:dyDescent="0.3">
      <c r="A927">
        <v>937</v>
      </c>
      <c r="B927">
        <v>82</v>
      </c>
      <c r="C927" s="2">
        <v>44887.251747685186</v>
      </c>
      <c r="D927" s="2">
        <v>44887.258229166669</v>
      </c>
      <c r="E927" s="3">
        <f t="shared" si="42"/>
        <v>44887</v>
      </c>
      <c r="F927">
        <f t="shared" si="43"/>
        <v>11</v>
      </c>
      <c r="G927" s="4">
        <f t="shared" si="44"/>
        <v>9.3333333358168602</v>
      </c>
      <c r="H927">
        <f>IF(COUNTIFS(B$2:B927,B927,E$2:E927,E927)=1,1,0)</f>
        <v>0</v>
      </c>
      <c r="I927">
        <f>IF(COUNTIFS(B$2:B927,B927,F$2:F927,F927)=1,1,0)</f>
        <v>0</v>
      </c>
    </row>
    <row r="928" spans="1:9" x14ac:dyDescent="0.3">
      <c r="A928">
        <v>938</v>
      </c>
      <c r="B928">
        <v>82</v>
      </c>
      <c r="C928" s="2">
        <v>44887.596458333333</v>
      </c>
      <c r="D928" s="2">
        <v>44887.600011574075</v>
      </c>
      <c r="E928" s="3">
        <f t="shared" si="42"/>
        <v>44887</v>
      </c>
      <c r="F928">
        <f t="shared" si="43"/>
        <v>11</v>
      </c>
      <c r="G928" s="4">
        <f t="shared" si="44"/>
        <v>5.1166666683275253</v>
      </c>
      <c r="H928">
        <f>IF(COUNTIFS(B$2:B928,B928,E$2:E928,E928)=1,1,0)</f>
        <v>0</v>
      </c>
      <c r="I928">
        <f>IF(COUNTIFS(B$2:B928,B928,F$2:F928,F928)=1,1,0)</f>
        <v>0</v>
      </c>
    </row>
    <row r="929" spans="1:9" x14ac:dyDescent="0.3">
      <c r="A929">
        <v>939</v>
      </c>
      <c r="B929">
        <v>82</v>
      </c>
      <c r="C929" s="2">
        <v>44887.835821759261</v>
      </c>
      <c r="D929" s="2">
        <v>44887.837766203702</v>
      </c>
      <c r="E929" s="3">
        <f t="shared" si="42"/>
        <v>44887</v>
      </c>
      <c r="F929">
        <f t="shared" si="43"/>
        <v>11</v>
      </c>
      <c r="G929" s="4">
        <f t="shared" si="44"/>
        <v>2.7999999944586307</v>
      </c>
      <c r="H929">
        <f>IF(COUNTIFS(B$2:B929,B929,E$2:E929,E929)=1,1,0)</f>
        <v>0</v>
      </c>
      <c r="I929">
        <f>IF(COUNTIFS(B$2:B929,B929,F$2:F929,F929)=1,1,0)</f>
        <v>0</v>
      </c>
    </row>
    <row r="930" spans="1:9" x14ac:dyDescent="0.3">
      <c r="A930">
        <v>940</v>
      </c>
      <c r="B930">
        <v>82</v>
      </c>
      <c r="C930" s="2">
        <v>44888.063032407408</v>
      </c>
      <c r="D930" s="2">
        <v>44888.070717592593</v>
      </c>
      <c r="E930" s="3">
        <f t="shared" si="42"/>
        <v>44888</v>
      </c>
      <c r="F930">
        <f t="shared" si="43"/>
        <v>11</v>
      </c>
      <c r="G930" s="4">
        <f t="shared" si="44"/>
        <v>11.066666665719822</v>
      </c>
      <c r="H930">
        <f>IF(COUNTIFS(B$2:B930,B930,E$2:E930,E930)=1,1,0)</f>
        <v>1</v>
      </c>
      <c r="I930">
        <f>IF(COUNTIFS(B$2:B930,B930,F$2:F930,F930)=1,1,0)</f>
        <v>0</v>
      </c>
    </row>
    <row r="931" spans="1:9" x14ac:dyDescent="0.3">
      <c r="A931">
        <v>941</v>
      </c>
      <c r="B931">
        <v>82</v>
      </c>
      <c r="C931" s="2">
        <v>44888.406944444447</v>
      </c>
      <c r="D931" s="2">
        <v>44888.410983796297</v>
      </c>
      <c r="E931" s="3">
        <f t="shared" si="42"/>
        <v>44888</v>
      </c>
      <c r="F931">
        <f t="shared" si="43"/>
        <v>11</v>
      </c>
      <c r="G931" s="4">
        <f t="shared" si="44"/>
        <v>5.8166666643228382</v>
      </c>
      <c r="H931">
        <f>IF(COUNTIFS(B$2:B931,B931,E$2:E931,E931)=1,1,0)</f>
        <v>0</v>
      </c>
      <c r="I931">
        <f>IF(COUNTIFS(B$2:B931,B931,F$2:F931,F931)=1,1,0)</f>
        <v>0</v>
      </c>
    </row>
    <row r="932" spans="1:9" x14ac:dyDescent="0.3">
      <c r="A932">
        <v>942</v>
      </c>
      <c r="B932">
        <v>82</v>
      </c>
      <c r="C932" s="2">
        <v>44888.657141203701</v>
      </c>
      <c r="D932" s="2">
        <v>44888.663090277776</v>
      </c>
      <c r="E932" s="3">
        <f t="shared" si="42"/>
        <v>44888</v>
      </c>
      <c r="F932">
        <f t="shared" si="43"/>
        <v>11</v>
      </c>
      <c r="G932" s="4">
        <f t="shared" si="44"/>
        <v>8.5666666680481285</v>
      </c>
      <c r="H932">
        <f>IF(COUNTIFS(B$2:B932,B932,E$2:E932,E932)=1,1,0)</f>
        <v>0</v>
      </c>
      <c r="I932">
        <f>IF(COUNTIFS(B$2:B932,B932,F$2:F932,F932)=1,1,0)</f>
        <v>0</v>
      </c>
    </row>
    <row r="933" spans="1:9" x14ac:dyDescent="0.3">
      <c r="A933">
        <v>943</v>
      </c>
      <c r="B933">
        <v>82</v>
      </c>
      <c r="C933" s="2">
        <v>44888.949907407405</v>
      </c>
      <c r="D933" s="2">
        <v>44888.954247685186</v>
      </c>
      <c r="E933" s="3">
        <f t="shared" si="42"/>
        <v>44888</v>
      </c>
      <c r="F933">
        <f t="shared" si="43"/>
        <v>11</v>
      </c>
      <c r="G933" s="4">
        <f t="shared" si="44"/>
        <v>6.2500000046566129</v>
      </c>
      <c r="H933">
        <f>IF(COUNTIFS(B$2:B933,B933,E$2:E933,E933)=1,1,0)</f>
        <v>0</v>
      </c>
      <c r="I933">
        <f>IF(COUNTIFS(B$2:B933,B933,F$2:F933,F933)=1,1,0)</f>
        <v>0</v>
      </c>
    </row>
    <row r="934" spans="1:9" x14ac:dyDescent="0.3">
      <c r="A934">
        <v>944</v>
      </c>
      <c r="B934">
        <v>83</v>
      </c>
      <c r="C934" s="2">
        <v>44675.323009259257</v>
      </c>
      <c r="D934" s="2">
        <v>44675.328217592592</v>
      </c>
      <c r="E934" s="3">
        <f t="shared" si="42"/>
        <v>44675</v>
      </c>
      <c r="F934">
        <f t="shared" si="43"/>
        <v>4</v>
      </c>
      <c r="G934" s="4">
        <f t="shared" si="44"/>
        <v>7.5000000034924597</v>
      </c>
      <c r="H934">
        <f>IF(COUNTIFS(B$2:B934,B934,E$2:E934,E934)=1,1,0)</f>
        <v>1</v>
      </c>
      <c r="I934">
        <f>IF(COUNTIFS(B$2:B934,B934,F$2:F934,F934)=1,1,0)</f>
        <v>1</v>
      </c>
    </row>
    <row r="935" spans="1:9" x14ac:dyDescent="0.3">
      <c r="A935">
        <v>945</v>
      </c>
      <c r="B935">
        <v>83</v>
      </c>
      <c r="C935" s="2">
        <v>44675.668113425927</v>
      </c>
      <c r="D935" s="2">
        <v>44675.676238425927</v>
      </c>
      <c r="E935" s="3">
        <f t="shared" si="42"/>
        <v>44675</v>
      </c>
      <c r="F935">
        <f t="shared" si="43"/>
        <v>4</v>
      </c>
      <c r="G935" s="4">
        <f t="shared" si="44"/>
        <v>11.700000000419095</v>
      </c>
      <c r="H935">
        <f>IF(COUNTIFS(B$2:B935,B935,E$2:E935,E935)=1,1,0)</f>
        <v>0</v>
      </c>
      <c r="I935">
        <f>IF(COUNTIFS(B$2:B935,B935,F$2:F935,F935)=1,1,0)</f>
        <v>0</v>
      </c>
    </row>
    <row r="936" spans="1:9" x14ac:dyDescent="0.3">
      <c r="A936">
        <v>946</v>
      </c>
      <c r="B936">
        <v>83</v>
      </c>
      <c r="C936" s="2">
        <v>44675.765335648146</v>
      </c>
      <c r="D936" s="2">
        <v>44675.768599537034</v>
      </c>
      <c r="E936" s="3">
        <f t="shared" si="42"/>
        <v>44675</v>
      </c>
      <c r="F936">
        <f t="shared" si="43"/>
        <v>4</v>
      </c>
      <c r="G936" s="4">
        <f t="shared" si="44"/>
        <v>4.69999999855645</v>
      </c>
      <c r="H936">
        <f>IF(COUNTIFS(B$2:B936,B936,E$2:E936,E936)=1,1,0)</f>
        <v>0</v>
      </c>
      <c r="I936">
        <f>IF(COUNTIFS(B$2:B936,B936,F$2:F936,F936)=1,1,0)</f>
        <v>0</v>
      </c>
    </row>
    <row r="937" spans="1:9" x14ac:dyDescent="0.3">
      <c r="A937">
        <v>947</v>
      </c>
      <c r="B937">
        <v>83</v>
      </c>
      <c r="C937" s="2">
        <v>44676.055868055555</v>
      </c>
      <c r="D937" s="2">
        <v>44676.065243055556</v>
      </c>
      <c r="E937" s="3">
        <f t="shared" si="42"/>
        <v>44676</v>
      </c>
      <c r="F937">
        <f t="shared" si="43"/>
        <v>4</v>
      </c>
      <c r="G937" s="4">
        <f t="shared" si="44"/>
        <v>13.500000002095476</v>
      </c>
      <c r="H937">
        <f>IF(COUNTIFS(B$2:B937,B937,E$2:E937,E937)=1,1,0)</f>
        <v>1</v>
      </c>
      <c r="I937">
        <f>IF(COUNTIFS(B$2:B937,B937,F$2:F937,F937)=1,1,0)</f>
        <v>0</v>
      </c>
    </row>
    <row r="938" spans="1:9" x14ac:dyDescent="0.3">
      <c r="A938">
        <v>948</v>
      </c>
      <c r="B938">
        <v>84</v>
      </c>
      <c r="C938" s="2">
        <v>44750.706273148149</v>
      </c>
      <c r="D938" s="2">
        <v>44750.713854166665</v>
      </c>
      <c r="E938" s="3">
        <f t="shared" si="42"/>
        <v>44750</v>
      </c>
      <c r="F938">
        <f t="shared" si="43"/>
        <v>7</v>
      </c>
      <c r="G938" s="4">
        <f t="shared" si="44"/>
        <v>10.916666662087664</v>
      </c>
      <c r="H938">
        <f>IF(COUNTIFS(B$2:B938,B938,E$2:E938,E938)=1,1,0)</f>
        <v>1</v>
      </c>
      <c r="I938">
        <f>IF(COUNTIFS(B$2:B938,B938,F$2:F938,F938)=1,1,0)</f>
        <v>1</v>
      </c>
    </row>
    <row r="939" spans="1:9" x14ac:dyDescent="0.3">
      <c r="A939">
        <v>949</v>
      </c>
      <c r="B939">
        <v>84</v>
      </c>
      <c r="C939" s="2">
        <v>44750.886493055557</v>
      </c>
      <c r="D939" s="2">
        <v>44750.894375000003</v>
      </c>
      <c r="E939" s="3">
        <f t="shared" si="42"/>
        <v>44750</v>
      </c>
      <c r="F939">
        <f t="shared" si="43"/>
        <v>7</v>
      </c>
      <c r="G939" s="4">
        <f t="shared" si="44"/>
        <v>11.350000002421439</v>
      </c>
      <c r="H939">
        <f>IF(COUNTIFS(B$2:B939,B939,E$2:E939,E939)=1,1,0)</f>
        <v>0</v>
      </c>
      <c r="I939">
        <f>IF(COUNTIFS(B$2:B939,B939,F$2:F939,F939)=1,1,0)</f>
        <v>0</v>
      </c>
    </row>
    <row r="940" spans="1:9" x14ac:dyDescent="0.3">
      <c r="A940">
        <v>950</v>
      </c>
      <c r="B940">
        <v>84</v>
      </c>
      <c r="C940" s="2">
        <v>44751.049085648148</v>
      </c>
      <c r="D940" s="2">
        <v>44751.053217592591</v>
      </c>
      <c r="E940" s="3">
        <f t="shared" si="42"/>
        <v>44751</v>
      </c>
      <c r="F940">
        <f t="shared" si="43"/>
        <v>7</v>
      </c>
      <c r="G940" s="4">
        <f t="shared" si="44"/>
        <v>5.9499999973922968</v>
      </c>
      <c r="H940">
        <f>IF(COUNTIFS(B$2:B940,B940,E$2:E940,E940)=1,1,0)</f>
        <v>1</v>
      </c>
      <c r="I940">
        <f>IF(COUNTIFS(B$2:B940,B940,F$2:F940,F940)=1,1,0)</f>
        <v>0</v>
      </c>
    </row>
    <row r="941" spans="1:9" x14ac:dyDescent="0.3">
      <c r="A941">
        <v>951</v>
      </c>
      <c r="B941">
        <v>84</v>
      </c>
      <c r="C941" s="2">
        <v>44751.347824074073</v>
      </c>
      <c r="D941" s="2">
        <v>44751.35460648148</v>
      </c>
      <c r="E941" s="3">
        <f t="shared" si="42"/>
        <v>44751</v>
      </c>
      <c r="F941">
        <f t="shared" si="43"/>
        <v>7</v>
      </c>
      <c r="G941" s="4">
        <f t="shared" si="44"/>
        <v>9.7666666656732559</v>
      </c>
      <c r="H941">
        <f>IF(COUNTIFS(B$2:B941,B941,E$2:E941,E941)=1,1,0)</f>
        <v>0</v>
      </c>
      <c r="I941">
        <f>IF(COUNTIFS(B$2:B941,B941,F$2:F941,F941)=1,1,0)</f>
        <v>0</v>
      </c>
    </row>
    <row r="942" spans="1:9" x14ac:dyDescent="0.3">
      <c r="A942">
        <v>952</v>
      </c>
      <c r="B942">
        <v>84</v>
      </c>
      <c r="C942" s="2">
        <v>44751.535787037035</v>
      </c>
      <c r="D942" s="2">
        <v>44751.541747685187</v>
      </c>
      <c r="E942" s="3">
        <f t="shared" si="42"/>
        <v>44751</v>
      </c>
      <c r="F942">
        <f t="shared" si="43"/>
        <v>7</v>
      </c>
      <c r="G942" s="4">
        <f t="shared" si="44"/>
        <v>8.5833333386108279</v>
      </c>
      <c r="H942">
        <f>IF(COUNTIFS(B$2:B942,B942,E$2:E942,E942)=1,1,0)</f>
        <v>0</v>
      </c>
      <c r="I942">
        <f>IF(COUNTIFS(B$2:B942,B942,F$2:F942,F942)=1,1,0)</f>
        <v>0</v>
      </c>
    </row>
    <row r="943" spans="1:9" x14ac:dyDescent="0.3">
      <c r="A943">
        <v>953</v>
      </c>
      <c r="B943">
        <v>84</v>
      </c>
      <c r="C943" s="2">
        <v>44751.614016203705</v>
      </c>
      <c r="D943" s="2">
        <v>44751.62096064815</v>
      </c>
      <c r="E943" s="3">
        <f t="shared" si="42"/>
        <v>44751</v>
      </c>
      <c r="F943">
        <f t="shared" si="43"/>
        <v>7</v>
      </c>
      <c r="G943" s="4">
        <f t="shared" si="44"/>
        <v>10.000000001164153</v>
      </c>
      <c r="H943">
        <f>IF(COUNTIFS(B$2:B943,B943,E$2:E943,E943)=1,1,0)</f>
        <v>0</v>
      </c>
      <c r="I943">
        <f>IF(COUNTIFS(B$2:B943,B943,F$2:F943,F943)=1,1,0)</f>
        <v>0</v>
      </c>
    </row>
    <row r="944" spans="1:9" x14ac:dyDescent="0.3">
      <c r="A944">
        <v>954</v>
      </c>
      <c r="B944">
        <v>84</v>
      </c>
      <c r="C944" s="2">
        <v>44751.804212962961</v>
      </c>
      <c r="D944" s="2">
        <v>44751.811932870369</v>
      </c>
      <c r="E944" s="3">
        <f t="shared" si="42"/>
        <v>44751</v>
      </c>
      <c r="F944">
        <f t="shared" si="43"/>
        <v>7</v>
      </c>
      <c r="G944" s="4">
        <f t="shared" si="44"/>
        <v>11.116666666930541</v>
      </c>
      <c r="H944">
        <f>IF(COUNTIFS(B$2:B944,B944,E$2:E944,E944)=1,1,0)</f>
        <v>0</v>
      </c>
      <c r="I944">
        <f>IF(COUNTIFS(B$2:B944,B944,F$2:F944,F944)=1,1,0)</f>
        <v>0</v>
      </c>
    </row>
    <row r="945" spans="1:9" x14ac:dyDescent="0.3">
      <c r="A945">
        <v>955</v>
      </c>
      <c r="B945">
        <v>85</v>
      </c>
      <c r="C945" s="2">
        <v>44702.079722222225</v>
      </c>
      <c r="D945" s="2">
        <v>44702.083113425928</v>
      </c>
      <c r="E945" s="3">
        <f t="shared" si="42"/>
        <v>44702</v>
      </c>
      <c r="F945">
        <f t="shared" si="43"/>
        <v>5</v>
      </c>
      <c r="G945" s="4">
        <f t="shared" si="44"/>
        <v>4.883333332836628</v>
      </c>
      <c r="H945">
        <f>IF(COUNTIFS(B$2:B945,B945,E$2:E945,E945)=1,1,0)</f>
        <v>1</v>
      </c>
      <c r="I945">
        <f>IF(COUNTIFS(B$2:B945,B945,F$2:F945,F945)=1,1,0)</f>
        <v>1</v>
      </c>
    </row>
    <row r="946" spans="1:9" x14ac:dyDescent="0.3">
      <c r="A946">
        <v>956</v>
      </c>
      <c r="B946">
        <v>85</v>
      </c>
      <c r="C946" s="2">
        <v>44702.244710648149</v>
      </c>
      <c r="D946" s="2">
        <v>44702.252696759257</v>
      </c>
      <c r="E946" s="3">
        <f t="shared" si="42"/>
        <v>44702</v>
      </c>
      <c r="F946">
        <f t="shared" si="43"/>
        <v>5</v>
      </c>
      <c r="G946" s="4">
        <f t="shared" si="44"/>
        <v>11.499999995576218</v>
      </c>
      <c r="H946">
        <f>IF(COUNTIFS(B$2:B946,B946,E$2:E946,E946)=1,1,0)</f>
        <v>0</v>
      </c>
      <c r="I946">
        <f>IF(COUNTIFS(B$2:B946,B946,F$2:F946,F946)=1,1,0)</f>
        <v>0</v>
      </c>
    </row>
    <row r="947" spans="1:9" x14ac:dyDescent="0.3">
      <c r="A947">
        <v>957</v>
      </c>
      <c r="B947">
        <v>85</v>
      </c>
      <c r="C947" s="2">
        <v>44702.537743055553</v>
      </c>
      <c r="D947" s="2">
        <v>44702.545069444444</v>
      </c>
      <c r="E947" s="3">
        <f t="shared" si="42"/>
        <v>44702</v>
      </c>
      <c r="F947">
        <f t="shared" si="43"/>
        <v>5</v>
      </c>
      <c r="G947" s="4">
        <f t="shared" si="44"/>
        <v>10.550000004004687</v>
      </c>
      <c r="H947">
        <f>IF(COUNTIFS(B$2:B947,B947,E$2:E947,E947)=1,1,0)</f>
        <v>0</v>
      </c>
      <c r="I947">
        <f>IF(COUNTIFS(B$2:B947,B947,F$2:F947,F947)=1,1,0)</f>
        <v>0</v>
      </c>
    </row>
    <row r="948" spans="1:9" x14ac:dyDescent="0.3">
      <c r="A948">
        <v>958</v>
      </c>
      <c r="B948">
        <v>85</v>
      </c>
      <c r="C948" s="2">
        <v>44702.707800925928</v>
      </c>
      <c r="D948" s="2">
        <v>44702.714456018519</v>
      </c>
      <c r="E948" s="3">
        <f t="shared" si="42"/>
        <v>44702</v>
      </c>
      <c r="F948">
        <f t="shared" si="43"/>
        <v>5</v>
      </c>
      <c r="G948" s="4">
        <f t="shared" si="44"/>
        <v>9.583333331393078</v>
      </c>
      <c r="H948">
        <f>IF(COUNTIFS(B$2:B948,B948,E$2:E948,E948)=1,1,0)</f>
        <v>0</v>
      </c>
      <c r="I948">
        <f>IF(COUNTIFS(B$2:B948,B948,F$2:F948,F948)=1,1,0)</f>
        <v>0</v>
      </c>
    </row>
    <row r="949" spans="1:9" x14ac:dyDescent="0.3">
      <c r="A949">
        <v>959</v>
      </c>
      <c r="B949">
        <v>85</v>
      </c>
      <c r="C949" s="2">
        <v>44702.769537037035</v>
      </c>
      <c r="D949" s="2">
        <v>44702.774699074071</v>
      </c>
      <c r="E949" s="3">
        <f t="shared" si="42"/>
        <v>44702</v>
      </c>
      <c r="F949">
        <f t="shared" si="43"/>
        <v>5</v>
      </c>
      <c r="G949" s="4">
        <f t="shared" si="44"/>
        <v>7.4333333317190409</v>
      </c>
      <c r="H949">
        <f>IF(COUNTIFS(B$2:B949,B949,E$2:E949,E949)=1,1,0)</f>
        <v>0</v>
      </c>
      <c r="I949">
        <f>IF(COUNTIFS(B$2:B949,B949,F$2:F949,F949)=1,1,0)</f>
        <v>0</v>
      </c>
    </row>
    <row r="950" spans="1:9" x14ac:dyDescent="0.3">
      <c r="A950">
        <v>960</v>
      </c>
      <c r="B950">
        <v>85</v>
      </c>
      <c r="C950" s="2">
        <v>44702.886574074073</v>
      </c>
      <c r="D950" s="2">
        <v>44702.891377314816</v>
      </c>
      <c r="E950" s="3">
        <f t="shared" si="42"/>
        <v>44702</v>
      </c>
      <c r="F950">
        <f t="shared" si="43"/>
        <v>5</v>
      </c>
      <c r="G950" s="4">
        <f t="shared" si="44"/>
        <v>6.9166666700039059</v>
      </c>
      <c r="H950">
        <f>IF(COUNTIFS(B$2:B950,B950,E$2:E950,E950)=1,1,0)</f>
        <v>0</v>
      </c>
      <c r="I950">
        <f>IF(COUNTIFS(B$2:B950,B950,F$2:F950,F950)=1,1,0)</f>
        <v>0</v>
      </c>
    </row>
    <row r="951" spans="1:9" x14ac:dyDescent="0.3">
      <c r="A951">
        <v>961</v>
      </c>
      <c r="B951">
        <v>85</v>
      </c>
      <c r="C951" s="2">
        <v>44702.943807870368</v>
      </c>
      <c r="D951" s="2">
        <v>44702.946793981479</v>
      </c>
      <c r="E951" s="3">
        <f t="shared" si="42"/>
        <v>44702</v>
      </c>
      <c r="F951">
        <f t="shared" si="43"/>
        <v>5</v>
      </c>
      <c r="G951" s="4">
        <f t="shared" si="44"/>
        <v>4.2999999993480742</v>
      </c>
      <c r="H951">
        <f>IF(COUNTIFS(B$2:B951,B951,E$2:E951,E951)=1,1,0)</f>
        <v>0</v>
      </c>
      <c r="I951">
        <f>IF(COUNTIFS(B$2:B951,B951,F$2:F951,F951)=1,1,0)</f>
        <v>0</v>
      </c>
    </row>
    <row r="952" spans="1:9" x14ac:dyDescent="0.3">
      <c r="A952">
        <v>962</v>
      </c>
      <c r="B952">
        <v>85</v>
      </c>
      <c r="C952" s="2">
        <v>44703.041458333333</v>
      </c>
      <c r="D952" s="2">
        <v>44703.051168981481</v>
      </c>
      <c r="E952" s="3">
        <f t="shared" si="42"/>
        <v>44703</v>
      </c>
      <c r="F952">
        <f t="shared" si="43"/>
        <v>5</v>
      </c>
      <c r="G952" s="4">
        <f t="shared" si="44"/>
        <v>13.983333333162591</v>
      </c>
      <c r="H952">
        <f>IF(COUNTIFS(B$2:B952,B952,E$2:E952,E952)=1,1,0)</f>
        <v>1</v>
      </c>
      <c r="I952">
        <f>IF(COUNTIFS(B$2:B952,B952,F$2:F952,F952)=1,1,0)</f>
        <v>0</v>
      </c>
    </row>
    <row r="953" spans="1:9" x14ac:dyDescent="0.3">
      <c r="A953">
        <v>963</v>
      </c>
      <c r="B953">
        <v>85</v>
      </c>
      <c r="C953" s="2">
        <v>44703.141377314816</v>
      </c>
      <c r="D953" s="2">
        <v>44703.144953703704</v>
      </c>
      <c r="E953" s="3">
        <f t="shared" si="42"/>
        <v>44703</v>
      </c>
      <c r="F953">
        <f t="shared" si="43"/>
        <v>5</v>
      </c>
      <c r="G953" s="4">
        <f t="shared" si="44"/>
        <v>5.1499999989755452</v>
      </c>
      <c r="H953">
        <f>IF(COUNTIFS(B$2:B953,B953,E$2:E953,E953)=1,1,0)</f>
        <v>0</v>
      </c>
      <c r="I953">
        <f>IF(COUNTIFS(B$2:B953,B953,F$2:F953,F953)=1,1,0)</f>
        <v>0</v>
      </c>
    </row>
    <row r="954" spans="1:9" x14ac:dyDescent="0.3">
      <c r="A954">
        <v>964</v>
      </c>
      <c r="B954">
        <v>85</v>
      </c>
      <c r="C954" s="2">
        <v>44703.370196759257</v>
      </c>
      <c r="D954" s="2">
        <v>44703.376493055555</v>
      </c>
      <c r="E954" s="3">
        <f t="shared" si="42"/>
        <v>44703</v>
      </c>
      <c r="F954">
        <f t="shared" si="43"/>
        <v>5</v>
      </c>
      <c r="G954" s="4">
        <f t="shared" si="44"/>
        <v>9.066666669677943</v>
      </c>
      <c r="H954">
        <f>IF(COUNTIFS(B$2:B954,B954,E$2:E954,E954)=1,1,0)</f>
        <v>0</v>
      </c>
      <c r="I954">
        <f>IF(COUNTIFS(B$2:B954,B954,F$2:F954,F954)=1,1,0)</f>
        <v>0</v>
      </c>
    </row>
    <row r="955" spans="1:9" x14ac:dyDescent="0.3">
      <c r="A955">
        <v>965</v>
      </c>
      <c r="B955">
        <v>85</v>
      </c>
      <c r="C955" s="2">
        <v>44703.604050925926</v>
      </c>
      <c r="D955" s="2">
        <v>44703.610856481479</v>
      </c>
      <c r="E955" s="3">
        <f t="shared" si="42"/>
        <v>44703</v>
      </c>
      <c r="F955">
        <f t="shared" si="43"/>
        <v>5</v>
      </c>
      <c r="G955" s="4">
        <f t="shared" si="44"/>
        <v>9.7999999963212758</v>
      </c>
      <c r="H955">
        <f>IF(COUNTIFS(B$2:B955,B955,E$2:E955,E955)=1,1,0)</f>
        <v>0</v>
      </c>
      <c r="I955">
        <f>IF(COUNTIFS(B$2:B955,B955,F$2:F955,F955)=1,1,0)</f>
        <v>0</v>
      </c>
    </row>
    <row r="956" spans="1:9" x14ac:dyDescent="0.3">
      <c r="A956">
        <v>966</v>
      </c>
      <c r="B956">
        <v>85</v>
      </c>
      <c r="C956" s="2">
        <v>44703.825173611112</v>
      </c>
      <c r="D956" s="2">
        <v>44703.832199074073</v>
      </c>
      <c r="E956" s="3">
        <f t="shared" si="42"/>
        <v>44703</v>
      </c>
      <c r="F956">
        <f t="shared" si="43"/>
        <v>5</v>
      </c>
      <c r="G956" s="4">
        <f t="shared" si="44"/>
        <v>10.116666663670912</v>
      </c>
      <c r="H956">
        <f>IF(COUNTIFS(B$2:B956,B956,E$2:E956,E956)=1,1,0)</f>
        <v>0</v>
      </c>
      <c r="I956">
        <f>IF(COUNTIFS(B$2:B956,B956,F$2:F956,F956)=1,1,0)</f>
        <v>0</v>
      </c>
    </row>
    <row r="957" spans="1:9" x14ac:dyDescent="0.3">
      <c r="A957">
        <v>967</v>
      </c>
      <c r="B957">
        <v>86</v>
      </c>
      <c r="C957" s="2">
        <v>44684.682291666664</v>
      </c>
      <c r="D957" s="2">
        <v>44684.688460648147</v>
      </c>
      <c r="E957" s="3">
        <f t="shared" si="42"/>
        <v>44684</v>
      </c>
      <c r="F957">
        <f t="shared" si="43"/>
        <v>5</v>
      </c>
      <c r="G957" s="4">
        <f t="shared" si="44"/>
        <v>8.883333335397765</v>
      </c>
      <c r="H957">
        <f>IF(COUNTIFS(B$2:B957,B957,E$2:E957,E957)=1,1,0)</f>
        <v>1</v>
      </c>
      <c r="I957">
        <f>IF(COUNTIFS(B$2:B957,B957,F$2:F957,F957)=1,1,0)</f>
        <v>1</v>
      </c>
    </row>
    <row r="958" spans="1:9" x14ac:dyDescent="0.3">
      <c r="A958">
        <v>968</v>
      </c>
      <c r="B958">
        <v>86</v>
      </c>
      <c r="C958" s="2">
        <v>44685.026203703703</v>
      </c>
      <c r="D958" s="2">
        <v>44685.029733796298</v>
      </c>
      <c r="E958" s="3">
        <f t="shared" si="42"/>
        <v>44685</v>
      </c>
      <c r="F958">
        <f t="shared" si="43"/>
        <v>5</v>
      </c>
      <c r="G958" s="4">
        <f t="shared" si="44"/>
        <v>5.0833333376795053</v>
      </c>
      <c r="H958">
        <f>IF(COUNTIFS(B$2:B958,B958,E$2:E958,E958)=1,1,0)</f>
        <v>1</v>
      </c>
      <c r="I958">
        <f>IF(COUNTIFS(B$2:B958,B958,F$2:F958,F958)=1,1,0)</f>
        <v>0</v>
      </c>
    </row>
    <row r="959" spans="1:9" x14ac:dyDescent="0.3">
      <c r="A959">
        <v>969</v>
      </c>
      <c r="B959">
        <v>86</v>
      </c>
      <c r="C959" s="2">
        <v>44685.360046296293</v>
      </c>
      <c r="D959" s="2">
        <v>44685.366203703707</v>
      </c>
      <c r="E959" s="3">
        <f t="shared" si="42"/>
        <v>44685</v>
      </c>
      <c r="F959">
        <f t="shared" si="43"/>
        <v>5</v>
      </c>
      <c r="G959" s="4">
        <f t="shared" si="44"/>
        <v>8.8666666753124446</v>
      </c>
      <c r="H959">
        <f>IF(COUNTIFS(B$2:B959,B959,E$2:E959,E959)=1,1,0)</f>
        <v>0</v>
      </c>
      <c r="I959">
        <f>IF(COUNTIFS(B$2:B959,B959,F$2:F959,F959)=1,1,0)</f>
        <v>0</v>
      </c>
    </row>
    <row r="960" spans="1:9" x14ac:dyDescent="0.3">
      <c r="A960">
        <v>970</v>
      </c>
      <c r="B960">
        <v>86</v>
      </c>
      <c r="C960" s="2">
        <v>44685.569363425922</v>
      </c>
      <c r="D960" s="2">
        <v>44685.571261574078</v>
      </c>
      <c r="E960" s="3">
        <f t="shared" si="42"/>
        <v>44685</v>
      </c>
      <c r="F960">
        <f t="shared" si="43"/>
        <v>5</v>
      </c>
      <c r="G960" s="4">
        <f t="shared" si="44"/>
        <v>2.7333333436399698</v>
      </c>
      <c r="H960">
        <f>IF(COUNTIFS(B$2:B960,B960,E$2:E960,E960)=1,1,0)</f>
        <v>0</v>
      </c>
      <c r="I960">
        <f>IF(COUNTIFS(B$2:B960,B960,F$2:F960,F960)=1,1,0)</f>
        <v>0</v>
      </c>
    </row>
    <row r="961" spans="1:9" x14ac:dyDescent="0.3">
      <c r="A961">
        <v>971</v>
      </c>
      <c r="B961">
        <v>86</v>
      </c>
      <c r="C961" s="2">
        <v>44685.855405092596</v>
      </c>
      <c r="D961" s="2">
        <v>44685.860636574071</v>
      </c>
      <c r="E961" s="3">
        <f t="shared" si="42"/>
        <v>44685</v>
      </c>
      <c r="F961">
        <f t="shared" si="43"/>
        <v>5</v>
      </c>
      <c r="G961" s="4">
        <f t="shared" si="44"/>
        <v>7.5333333236631006</v>
      </c>
      <c r="H961">
        <f>IF(COUNTIFS(B$2:B961,B961,E$2:E961,E961)=1,1,0)</f>
        <v>0</v>
      </c>
      <c r="I961">
        <f>IF(COUNTIFS(B$2:B961,B961,F$2:F961,F961)=1,1,0)</f>
        <v>0</v>
      </c>
    </row>
    <row r="962" spans="1:9" x14ac:dyDescent="0.3">
      <c r="A962">
        <v>972</v>
      </c>
      <c r="B962">
        <v>87</v>
      </c>
      <c r="C962" s="2">
        <v>44656.855787037035</v>
      </c>
      <c r="D962" s="2">
        <v>44656.860625000001</v>
      </c>
      <c r="E962" s="3">
        <f t="shared" ref="E962:E1025" si="45">INT(C962)</f>
        <v>44656</v>
      </c>
      <c r="F962">
        <f t="shared" ref="F962:F1025" si="46">MONTH(C962)</f>
        <v>4</v>
      </c>
      <c r="G962" s="4">
        <f t="shared" ref="G962:G1025" si="47">(D962-C962)*1440</f>
        <v>6.9666666712146252</v>
      </c>
      <c r="H962">
        <f>IF(COUNTIFS(B$2:B962,B962,E$2:E962,E962)=1,1,0)</f>
        <v>1</v>
      </c>
      <c r="I962">
        <f>IF(COUNTIFS(B$2:B962,B962,F$2:F962,F962)=1,1,0)</f>
        <v>1</v>
      </c>
    </row>
    <row r="963" spans="1:9" x14ac:dyDescent="0.3">
      <c r="A963">
        <v>973</v>
      </c>
      <c r="B963">
        <v>87</v>
      </c>
      <c r="C963" s="2">
        <v>44657.03162037037</v>
      </c>
      <c r="D963" s="2">
        <v>44657.038958333331</v>
      </c>
      <c r="E963" s="3">
        <f t="shared" si="45"/>
        <v>44657</v>
      </c>
      <c r="F963">
        <f t="shared" si="46"/>
        <v>4</v>
      </c>
      <c r="G963" s="4">
        <f t="shared" si="47"/>
        <v>10.566666664090008</v>
      </c>
      <c r="H963">
        <f>IF(COUNTIFS(B$2:B963,B963,E$2:E963,E963)=1,1,0)</f>
        <v>1</v>
      </c>
      <c r="I963">
        <f>IF(COUNTIFS(B$2:B963,B963,F$2:F963,F963)=1,1,0)</f>
        <v>0</v>
      </c>
    </row>
    <row r="964" spans="1:9" x14ac:dyDescent="0.3">
      <c r="A964">
        <v>974</v>
      </c>
      <c r="B964">
        <v>88</v>
      </c>
      <c r="C964" s="2">
        <v>44720.73951388889</v>
      </c>
      <c r="D964" s="2">
        <v>44720.745833333334</v>
      </c>
      <c r="E964" s="3">
        <f t="shared" si="45"/>
        <v>44720</v>
      </c>
      <c r="F964">
        <f t="shared" si="46"/>
        <v>6</v>
      </c>
      <c r="G964" s="4">
        <f t="shared" si="47"/>
        <v>9.1000000003259629</v>
      </c>
      <c r="H964">
        <f>IF(COUNTIFS(B$2:B964,B964,E$2:E964,E964)=1,1,0)</f>
        <v>1</v>
      </c>
      <c r="I964">
        <f>IF(COUNTIFS(B$2:B964,B964,F$2:F964,F964)=1,1,0)</f>
        <v>1</v>
      </c>
    </row>
    <row r="965" spans="1:9" x14ac:dyDescent="0.3">
      <c r="A965">
        <v>975</v>
      </c>
      <c r="B965">
        <v>88</v>
      </c>
      <c r="C965" s="2">
        <v>44721.066678240742</v>
      </c>
      <c r="D965" s="2">
        <v>44721.071956018517</v>
      </c>
      <c r="E965" s="3">
        <f t="shared" si="45"/>
        <v>44721</v>
      </c>
      <c r="F965">
        <f t="shared" si="46"/>
        <v>6</v>
      </c>
      <c r="G965" s="4">
        <f t="shared" si="47"/>
        <v>7.5999999954365194</v>
      </c>
      <c r="H965">
        <f>IF(COUNTIFS(B$2:B965,B965,E$2:E965,E965)=1,1,0)</f>
        <v>1</v>
      </c>
      <c r="I965">
        <f>IF(COUNTIFS(B$2:B965,B965,F$2:F965,F965)=1,1,0)</f>
        <v>0</v>
      </c>
    </row>
    <row r="966" spans="1:9" x14ac:dyDescent="0.3">
      <c r="A966">
        <v>976</v>
      </c>
      <c r="B966">
        <v>88</v>
      </c>
      <c r="C966" s="2">
        <v>44721.247939814813</v>
      </c>
      <c r="D966" s="2">
        <v>44721.254710648151</v>
      </c>
      <c r="E966" s="3">
        <f t="shared" si="45"/>
        <v>44721</v>
      </c>
      <c r="F966">
        <f t="shared" si="46"/>
        <v>6</v>
      </c>
      <c r="G966" s="4">
        <f t="shared" si="47"/>
        <v>9.7500000055879354</v>
      </c>
      <c r="H966">
        <f>IF(COUNTIFS(B$2:B966,B966,E$2:E966,E966)=1,1,0)</f>
        <v>0</v>
      </c>
      <c r="I966">
        <f>IF(COUNTIFS(B$2:B966,B966,F$2:F966,F966)=1,1,0)</f>
        <v>0</v>
      </c>
    </row>
    <row r="967" spans="1:9" x14ac:dyDescent="0.3">
      <c r="A967">
        <v>977</v>
      </c>
      <c r="B967">
        <v>88</v>
      </c>
      <c r="C967" s="2">
        <v>44721.301817129628</v>
      </c>
      <c r="D967" s="2">
        <v>44721.304375</v>
      </c>
      <c r="E967" s="3">
        <f t="shared" si="45"/>
        <v>44721</v>
      </c>
      <c r="F967">
        <f t="shared" si="46"/>
        <v>6</v>
      </c>
      <c r="G967" s="4">
        <f t="shared" si="47"/>
        <v>3.6833333352115005</v>
      </c>
      <c r="H967">
        <f>IF(COUNTIFS(B$2:B967,B967,E$2:E967,E967)=1,1,0)</f>
        <v>0</v>
      </c>
      <c r="I967">
        <f>IF(COUNTIFS(B$2:B967,B967,F$2:F967,F967)=1,1,0)</f>
        <v>0</v>
      </c>
    </row>
    <row r="968" spans="1:9" x14ac:dyDescent="0.3">
      <c r="A968">
        <v>978</v>
      </c>
      <c r="B968">
        <v>88</v>
      </c>
      <c r="C968" s="2">
        <v>44721.525208333333</v>
      </c>
      <c r="D968" s="2">
        <v>44721.533460648148</v>
      </c>
      <c r="E968" s="3">
        <f t="shared" si="45"/>
        <v>44721</v>
      </c>
      <c r="F968">
        <f t="shared" si="46"/>
        <v>6</v>
      </c>
      <c r="G968" s="4">
        <f t="shared" si="47"/>
        <v>11.883333334699273</v>
      </c>
      <c r="H968">
        <f>IF(COUNTIFS(B$2:B968,B968,E$2:E968,E968)=1,1,0)</f>
        <v>0</v>
      </c>
      <c r="I968">
        <f>IF(COUNTIFS(B$2:B968,B968,F$2:F968,F968)=1,1,0)</f>
        <v>0</v>
      </c>
    </row>
    <row r="969" spans="1:9" x14ac:dyDescent="0.3">
      <c r="A969">
        <v>979</v>
      </c>
      <c r="B969">
        <v>88</v>
      </c>
      <c r="C969" s="2">
        <v>44721.847071759257</v>
      </c>
      <c r="D969" s="2">
        <v>44721.850937499999</v>
      </c>
      <c r="E969" s="3">
        <f t="shared" si="45"/>
        <v>44721</v>
      </c>
      <c r="F969">
        <f t="shared" si="46"/>
        <v>6</v>
      </c>
      <c r="G969" s="4">
        <f t="shared" si="47"/>
        <v>5.5666666687466204</v>
      </c>
      <c r="H969">
        <f>IF(COUNTIFS(B$2:B969,B969,E$2:E969,E969)=1,1,0)</f>
        <v>0</v>
      </c>
      <c r="I969">
        <f>IF(COUNTIFS(B$2:B969,B969,F$2:F969,F969)=1,1,0)</f>
        <v>0</v>
      </c>
    </row>
    <row r="970" spans="1:9" x14ac:dyDescent="0.3">
      <c r="A970">
        <v>980</v>
      </c>
      <c r="B970">
        <v>88</v>
      </c>
      <c r="C970" s="2">
        <v>44722.116365740738</v>
      </c>
      <c r="D970" s="2">
        <v>44722.11990740741</v>
      </c>
      <c r="E970" s="3">
        <f t="shared" si="45"/>
        <v>44722</v>
      </c>
      <c r="F970">
        <f t="shared" si="46"/>
        <v>6</v>
      </c>
      <c r="G970" s="4">
        <f t="shared" si="47"/>
        <v>5.1000000082422048</v>
      </c>
      <c r="H970">
        <f>IF(COUNTIFS(B$2:B970,B970,E$2:E970,E970)=1,1,0)</f>
        <v>1</v>
      </c>
      <c r="I970">
        <f>IF(COUNTIFS(B$2:B970,B970,F$2:F970,F970)=1,1,0)</f>
        <v>0</v>
      </c>
    </row>
    <row r="971" spans="1:9" x14ac:dyDescent="0.3">
      <c r="A971">
        <v>981</v>
      </c>
      <c r="B971">
        <v>88</v>
      </c>
      <c r="C971" s="2">
        <v>44722.367847222224</v>
      </c>
      <c r="D971" s="2">
        <v>44722.378518518519</v>
      </c>
      <c r="E971" s="3">
        <f t="shared" si="45"/>
        <v>44722</v>
      </c>
      <c r="F971">
        <f t="shared" si="46"/>
        <v>6</v>
      </c>
      <c r="G971" s="4">
        <f t="shared" si="47"/>
        <v>15.366666665067896</v>
      </c>
      <c r="H971">
        <f>IF(COUNTIFS(B$2:B971,B971,E$2:E971,E971)=1,1,0)</f>
        <v>0</v>
      </c>
      <c r="I971">
        <f>IF(COUNTIFS(B$2:B971,B971,F$2:F971,F971)=1,1,0)</f>
        <v>0</v>
      </c>
    </row>
    <row r="972" spans="1:9" x14ac:dyDescent="0.3">
      <c r="A972">
        <v>982</v>
      </c>
      <c r="B972">
        <v>88</v>
      </c>
      <c r="C972" s="2">
        <v>44722.700057870374</v>
      </c>
      <c r="D972" s="2">
        <v>44722.7030787037</v>
      </c>
      <c r="E972" s="3">
        <f t="shared" si="45"/>
        <v>44722</v>
      </c>
      <c r="F972">
        <f t="shared" si="46"/>
        <v>6</v>
      </c>
      <c r="G972" s="4">
        <f t="shared" si="47"/>
        <v>4.3499999900814146</v>
      </c>
      <c r="H972">
        <f>IF(COUNTIFS(B$2:B972,B972,E$2:E972,E972)=1,1,0)</f>
        <v>0</v>
      </c>
      <c r="I972">
        <f>IF(COUNTIFS(B$2:B972,B972,F$2:F972,F972)=1,1,0)</f>
        <v>0</v>
      </c>
    </row>
    <row r="973" spans="1:9" x14ac:dyDescent="0.3">
      <c r="A973">
        <v>983</v>
      </c>
      <c r="B973">
        <v>88</v>
      </c>
      <c r="C973" s="2">
        <v>44723.045046296298</v>
      </c>
      <c r="D973" s="2">
        <v>44723.048171296294</v>
      </c>
      <c r="E973" s="3">
        <f t="shared" si="45"/>
        <v>44723</v>
      </c>
      <c r="F973">
        <f t="shared" si="46"/>
        <v>6</v>
      </c>
      <c r="G973" s="4">
        <f t="shared" si="47"/>
        <v>4.4999999937135726</v>
      </c>
      <c r="H973">
        <f>IF(COUNTIFS(B$2:B973,B973,E$2:E973,E973)=1,1,0)</f>
        <v>1</v>
      </c>
      <c r="I973">
        <f>IF(COUNTIFS(B$2:B973,B973,F$2:F973,F973)=1,1,0)</f>
        <v>0</v>
      </c>
    </row>
    <row r="974" spans="1:9" x14ac:dyDescent="0.3">
      <c r="A974">
        <v>984</v>
      </c>
      <c r="B974">
        <v>88</v>
      </c>
      <c r="C974" s="2">
        <v>44723.385231481479</v>
      </c>
      <c r="D974" s="2">
        <v>44723.393425925926</v>
      </c>
      <c r="E974" s="3">
        <f t="shared" si="45"/>
        <v>44723</v>
      </c>
      <c r="F974">
        <f t="shared" si="46"/>
        <v>6</v>
      </c>
      <c r="G974" s="4">
        <f t="shared" si="47"/>
        <v>11.800000002840534</v>
      </c>
      <c r="H974">
        <f>IF(COUNTIFS(B$2:B974,B974,E$2:E974,E974)=1,1,0)</f>
        <v>0</v>
      </c>
      <c r="I974">
        <f>IF(COUNTIFS(B$2:B974,B974,F$2:F974,F974)=1,1,0)</f>
        <v>0</v>
      </c>
    </row>
    <row r="975" spans="1:9" x14ac:dyDescent="0.3">
      <c r="A975">
        <v>985</v>
      </c>
      <c r="B975">
        <v>88</v>
      </c>
      <c r="C975" s="2">
        <v>44723.471064814818</v>
      </c>
      <c r="D975" s="2">
        <v>44723.476736111108</v>
      </c>
      <c r="E975" s="3">
        <f t="shared" si="45"/>
        <v>44723</v>
      </c>
      <c r="F975">
        <f t="shared" si="46"/>
        <v>6</v>
      </c>
      <c r="G975" s="4">
        <f t="shared" si="47"/>
        <v>8.1666666583623737</v>
      </c>
      <c r="H975">
        <f>IF(COUNTIFS(B$2:B975,B975,E$2:E975,E975)=1,1,0)</f>
        <v>0</v>
      </c>
      <c r="I975">
        <f>IF(COUNTIFS(B$2:B975,B975,F$2:F975,F975)=1,1,0)</f>
        <v>0</v>
      </c>
    </row>
    <row r="976" spans="1:9" x14ac:dyDescent="0.3">
      <c r="A976">
        <v>986</v>
      </c>
      <c r="B976">
        <v>88</v>
      </c>
      <c r="C976" s="2">
        <v>44723.587210648147</v>
      </c>
      <c r="D976" s="2">
        <v>44723.592245370368</v>
      </c>
      <c r="E976" s="3">
        <f t="shared" si="45"/>
        <v>44723</v>
      </c>
      <c r="F976">
        <f t="shared" si="46"/>
        <v>6</v>
      </c>
      <c r="G976" s="4">
        <f t="shared" si="47"/>
        <v>7.2499999974388629</v>
      </c>
      <c r="H976">
        <f>IF(COUNTIFS(B$2:B976,B976,E$2:E976,E976)=1,1,0)</f>
        <v>0</v>
      </c>
      <c r="I976">
        <f>IF(COUNTIFS(B$2:B976,B976,F$2:F976,F976)=1,1,0)</f>
        <v>0</v>
      </c>
    </row>
    <row r="977" spans="1:9" x14ac:dyDescent="0.3">
      <c r="A977">
        <v>987</v>
      </c>
      <c r="B977">
        <v>88</v>
      </c>
      <c r="C977" s="2">
        <v>44723.662546296298</v>
      </c>
      <c r="D977" s="2">
        <v>44723.668217592596</v>
      </c>
      <c r="E977" s="3">
        <f t="shared" si="45"/>
        <v>44723</v>
      </c>
      <c r="F977">
        <f t="shared" si="46"/>
        <v>6</v>
      </c>
      <c r="G977" s="4">
        <f t="shared" si="47"/>
        <v>8.1666666688397527</v>
      </c>
      <c r="H977">
        <f>IF(COUNTIFS(B$2:B977,B977,E$2:E977,E977)=1,1,0)</f>
        <v>0</v>
      </c>
      <c r="I977">
        <f>IF(COUNTIFS(B$2:B977,B977,F$2:F977,F977)=1,1,0)</f>
        <v>0</v>
      </c>
    </row>
    <row r="978" spans="1:9" x14ac:dyDescent="0.3">
      <c r="A978">
        <v>988</v>
      </c>
      <c r="B978">
        <v>88</v>
      </c>
      <c r="C978" s="2">
        <v>44723.955474537041</v>
      </c>
      <c r="D978" s="2">
        <v>44723.959398148145</v>
      </c>
      <c r="E978" s="3">
        <f t="shared" si="45"/>
        <v>44723</v>
      </c>
      <c r="F978">
        <f t="shared" si="46"/>
        <v>6</v>
      </c>
      <c r="G978" s="4">
        <f t="shared" si="47"/>
        <v>5.6499999901279807</v>
      </c>
      <c r="H978">
        <f>IF(COUNTIFS(B$2:B978,B978,E$2:E978,E978)=1,1,0)</f>
        <v>0</v>
      </c>
      <c r="I978">
        <f>IF(COUNTIFS(B$2:B978,B978,F$2:F978,F978)=1,1,0)</f>
        <v>0</v>
      </c>
    </row>
    <row r="979" spans="1:9" x14ac:dyDescent="0.3">
      <c r="A979">
        <v>989</v>
      </c>
      <c r="B979">
        <v>88</v>
      </c>
      <c r="C979" s="2">
        <v>44724.241944444446</v>
      </c>
      <c r="D979" s="2">
        <v>44724.245115740741</v>
      </c>
      <c r="E979" s="3">
        <f t="shared" si="45"/>
        <v>44724</v>
      </c>
      <c r="F979">
        <f t="shared" si="46"/>
        <v>6</v>
      </c>
      <c r="G979" s="4">
        <f t="shared" si="47"/>
        <v>4.5666666654869914</v>
      </c>
      <c r="H979">
        <f>IF(COUNTIFS(B$2:B979,B979,E$2:E979,E979)=1,1,0)</f>
        <v>1</v>
      </c>
      <c r="I979">
        <f>IF(COUNTIFS(B$2:B979,B979,F$2:F979,F979)=1,1,0)</f>
        <v>0</v>
      </c>
    </row>
    <row r="980" spans="1:9" x14ac:dyDescent="0.3">
      <c r="A980">
        <v>990</v>
      </c>
      <c r="B980">
        <v>88</v>
      </c>
      <c r="C980" s="2">
        <v>44724.457766203705</v>
      </c>
      <c r="D980" s="2">
        <v>44724.463807870372</v>
      </c>
      <c r="E980" s="3">
        <f t="shared" si="45"/>
        <v>44724</v>
      </c>
      <c r="F980">
        <f t="shared" si="46"/>
        <v>6</v>
      </c>
      <c r="G980" s="4">
        <f t="shared" si="47"/>
        <v>8.7000000011175871</v>
      </c>
      <c r="H980">
        <f>IF(COUNTIFS(B$2:B980,B980,E$2:E980,E980)=1,1,0)</f>
        <v>0</v>
      </c>
      <c r="I980">
        <f>IF(COUNTIFS(B$2:B980,B980,F$2:F980,F980)=1,1,0)</f>
        <v>0</v>
      </c>
    </row>
    <row r="981" spans="1:9" x14ac:dyDescent="0.3">
      <c r="A981">
        <v>991</v>
      </c>
      <c r="B981">
        <v>88</v>
      </c>
      <c r="C981" s="2">
        <v>44724.755694444444</v>
      </c>
      <c r="D981" s="2">
        <v>44724.761666666665</v>
      </c>
      <c r="E981" s="3">
        <f t="shared" si="45"/>
        <v>44724</v>
      </c>
      <c r="F981">
        <f t="shared" si="46"/>
        <v>6</v>
      </c>
      <c r="G981" s="4">
        <f t="shared" si="47"/>
        <v>8.5999999986961484</v>
      </c>
      <c r="H981">
        <f>IF(COUNTIFS(B$2:B981,B981,E$2:E981,E981)=1,1,0)</f>
        <v>0</v>
      </c>
      <c r="I981">
        <f>IF(COUNTIFS(B$2:B981,B981,F$2:F981,F981)=1,1,0)</f>
        <v>0</v>
      </c>
    </row>
    <row r="982" spans="1:9" x14ac:dyDescent="0.3">
      <c r="A982">
        <v>992</v>
      </c>
      <c r="B982">
        <v>88</v>
      </c>
      <c r="C982" s="2">
        <v>44725.053206018521</v>
      </c>
      <c r="D982" s="2">
        <v>44725.060694444444</v>
      </c>
      <c r="E982" s="3">
        <f t="shared" si="45"/>
        <v>44725</v>
      </c>
      <c r="F982">
        <f t="shared" si="46"/>
        <v>6</v>
      </c>
      <c r="G982" s="4">
        <f t="shared" si="47"/>
        <v>10.783333329018205</v>
      </c>
      <c r="H982">
        <f>IF(COUNTIFS(B$2:B982,B982,E$2:E982,E982)=1,1,0)</f>
        <v>1</v>
      </c>
      <c r="I982">
        <f>IF(COUNTIFS(B$2:B982,B982,F$2:F982,F982)=1,1,0)</f>
        <v>0</v>
      </c>
    </row>
    <row r="983" spans="1:9" x14ac:dyDescent="0.3">
      <c r="A983">
        <v>993</v>
      </c>
      <c r="B983">
        <v>88</v>
      </c>
      <c r="C983" s="2">
        <v>44725.311539351853</v>
      </c>
      <c r="D983" s="2">
        <v>44725.314189814817</v>
      </c>
      <c r="E983" s="3">
        <f t="shared" si="45"/>
        <v>44725</v>
      </c>
      <c r="F983">
        <f t="shared" si="46"/>
        <v>6</v>
      </c>
      <c r="G983" s="4">
        <f t="shared" si="47"/>
        <v>3.8166666682809591</v>
      </c>
      <c r="H983">
        <f>IF(COUNTIFS(B$2:B983,B983,E$2:E983,E983)=1,1,0)</f>
        <v>0</v>
      </c>
      <c r="I983">
        <f>IF(COUNTIFS(B$2:B983,B983,F$2:F983,F983)=1,1,0)</f>
        <v>0</v>
      </c>
    </row>
    <row r="984" spans="1:9" x14ac:dyDescent="0.3">
      <c r="A984">
        <v>994</v>
      </c>
      <c r="B984">
        <v>88</v>
      </c>
      <c r="C984" s="2">
        <v>44725.52244212963</v>
      </c>
      <c r="D984" s="2">
        <v>44725.528773148151</v>
      </c>
      <c r="E984" s="3">
        <f t="shared" si="45"/>
        <v>44725</v>
      </c>
      <c r="F984">
        <f t="shared" si="46"/>
        <v>6</v>
      </c>
      <c r="G984" s="4">
        <f t="shared" si="47"/>
        <v>9.1166666708886623</v>
      </c>
      <c r="H984">
        <f>IF(COUNTIFS(B$2:B984,B984,E$2:E984,E984)=1,1,0)</f>
        <v>0</v>
      </c>
      <c r="I984">
        <f>IF(COUNTIFS(B$2:B984,B984,F$2:F984,F984)=1,1,0)</f>
        <v>0</v>
      </c>
    </row>
    <row r="985" spans="1:9" x14ac:dyDescent="0.3">
      <c r="A985">
        <v>995</v>
      </c>
      <c r="B985">
        <v>88</v>
      </c>
      <c r="C985" s="2">
        <v>44725.602546296293</v>
      </c>
      <c r="D985" s="2">
        <v>44725.606493055559</v>
      </c>
      <c r="E985" s="3">
        <f t="shared" si="45"/>
        <v>44725</v>
      </c>
      <c r="F985">
        <f t="shared" si="46"/>
        <v>6</v>
      </c>
      <c r="G985" s="4">
        <f t="shared" si="47"/>
        <v>5.6833333417307585</v>
      </c>
      <c r="H985">
        <f>IF(COUNTIFS(B$2:B985,B985,E$2:E985,E985)=1,1,0)</f>
        <v>0</v>
      </c>
      <c r="I985">
        <f>IF(COUNTIFS(B$2:B985,B985,F$2:F985,F985)=1,1,0)</f>
        <v>0</v>
      </c>
    </row>
    <row r="986" spans="1:9" x14ac:dyDescent="0.3">
      <c r="A986">
        <v>996</v>
      </c>
      <c r="B986">
        <v>88</v>
      </c>
      <c r="C986" s="2">
        <v>44725.688043981485</v>
      </c>
      <c r="D986" s="2">
        <v>44725.694467592592</v>
      </c>
      <c r="E986" s="3">
        <f t="shared" si="45"/>
        <v>44725</v>
      </c>
      <c r="F986">
        <f t="shared" si="46"/>
        <v>6</v>
      </c>
      <c r="G986" s="4">
        <f t="shared" si="47"/>
        <v>9.249999993480742</v>
      </c>
      <c r="H986">
        <f>IF(COUNTIFS(B$2:B986,B986,E$2:E986,E986)=1,1,0)</f>
        <v>0</v>
      </c>
      <c r="I986">
        <f>IF(COUNTIFS(B$2:B986,B986,F$2:F986,F986)=1,1,0)</f>
        <v>0</v>
      </c>
    </row>
    <row r="987" spans="1:9" x14ac:dyDescent="0.3">
      <c r="A987">
        <v>997</v>
      </c>
      <c r="B987">
        <v>88</v>
      </c>
      <c r="C987" s="2">
        <v>44726.011736111112</v>
      </c>
      <c r="D987" s="2">
        <v>44726.021516203706</v>
      </c>
      <c r="E987" s="3">
        <f t="shared" si="45"/>
        <v>44726</v>
      </c>
      <c r="F987">
        <f t="shared" si="46"/>
        <v>6</v>
      </c>
      <c r="G987" s="4">
        <f t="shared" si="47"/>
        <v>14.08333333558403</v>
      </c>
      <c r="H987">
        <f>IF(COUNTIFS(B$2:B987,B987,E$2:E987,E987)=1,1,0)</f>
        <v>1</v>
      </c>
      <c r="I987">
        <f>IF(COUNTIFS(B$2:B987,B987,F$2:F987,F987)=1,1,0)</f>
        <v>0</v>
      </c>
    </row>
    <row r="988" spans="1:9" x14ac:dyDescent="0.3">
      <c r="A988">
        <v>998</v>
      </c>
      <c r="B988">
        <v>88</v>
      </c>
      <c r="C988" s="2">
        <v>44726.224745370368</v>
      </c>
      <c r="D988" s="2">
        <v>44726.228807870371</v>
      </c>
      <c r="E988" s="3">
        <f t="shared" si="45"/>
        <v>44726</v>
      </c>
      <c r="F988">
        <f t="shared" si="46"/>
        <v>6</v>
      </c>
      <c r="G988" s="4">
        <f t="shared" si="47"/>
        <v>5.8500000054482371</v>
      </c>
      <c r="H988">
        <f>IF(COUNTIFS(B$2:B988,B988,E$2:E988,E988)=1,1,0)</f>
        <v>0</v>
      </c>
      <c r="I988">
        <f>IF(COUNTIFS(B$2:B988,B988,F$2:F988,F988)=1,1,0)</f>
        <v>0</v>
      </c>
    </row>
    <row r="989" spans="1:9" x14ac:dyDescent="0.3">
      <c r="A989">
        <v>999</v>
      </c>
      <c r="B989">
        <v>88</v>
      </c>
      <c r="C989" s="2">
        <v>44726.545023148145</v>
      </c>
      <c r="D989" s="2">
        <v>44726.552118055559</v>
      </c>
      <c r="E989" s="3">
        <f t="shared" si="45"/>
        <v>44726</v>
      </c>
      <c r="F989">
        <f t="shared" si="46"/>
        <v>6</v>
      </c>
      <c r="G989" s="4">
        <f t="shared" si="47"/>
        <v>10.21666667656973</v>
      </c>
      <c r="H989">
        <f>IF(COUNTIFS(B$2:B989,B989,E$2:E989,E989)=1,1,0)</f>
        <v>0</v>
      </c>
      <c r="I989">
        <f>IF(COUNTIFS(B$2:B989,B989,F$2:F989,F989)=1,1,0)</f>
        <v>0</v>
      </c>
    </row>
    <row r="990" spans="1:9" x14ac:dyDescent="0.3">
      <c r="A990">
        <v>1000</v>
      </c>
      <c r="B990">
        <v>88</v>
      </c>
      <c r="C990" s="2">
        <v>44726.673275462963</v>
      </c>
      <c r="D990" s="2">
        <v>44726.677337962959</v>
      </c>
      <c r="E990" s="3">
        <f t="shared" si="45"/>
        <v>44726</v>
      </c>
      <c r="F990">
        <f t="shared" si="46"/>
        <v>6</v>
      </c>
      <c r="G990" s="4">
        <f t="shared" si="47"/>
        <v>5.8499999949708581</v>
      </c>
      <c r="H990">
        <f>IF(COUNTIFS(B$2:B990,B990,E$2:E990,E990)=1,1,0)</f>
        <v>0</v>
      </c>
      <c r="I990">
        <f>IF(COUNTIFS(B$2:B990,B990,F$2:F990,F990)=1,1,0)</f>
        <v>0</v>
      </c>
    </row>
    <row r="991" spans="1:9" x14ac:dyDescent="0.3">
      <c r="A991">
        <v>1001</v>
      </c>
      <c r="B991">
        <v>88</v>
      </c>
      <c r="C991" s="2">
        <v>44726.935995370368</v>
      </c>
      <c r="D991" s="2">
        <v>44726.943912037037</v>
      </c>
      <c r="E991" s="3">
        <f t="shared" si="45"/>
        <v>44726</v>
      </c>
      <c r="F991">
        <f t="shared" si="46"/>
        <v>6</v>
      </c>
      <c r="G991" s="4">
        <f t="shared" si="47"/>
        <v>11.400000003632158</v>
      </c>
      <c r="H991">
        <f>IF(COUNTIFS(B$2:B991,B991,E$2:E991,E991)=1,1,0)</f>
        <v>0</v>
      </c>
      <c r="I991">
        <f>IF(COUNTIFS(B$2:B991,B991,F$2:F991,F991)=1,1,0)</f>
        <v>0</v>
      </c>
    </row>
    <row r="992" spans="1:9" x14ac:dyDescent="0.3">
      <c r="A992">
        <v>1002</v>
      </c>
      <c r="B992">
        <v>88</v>
      </c>
      <c r="C992" s="2">
        <v>44727.129467592589</v>
      </c>
      <c r="D992" s="2">
        <v>44727.139004629629</v>
      </c>
      <c r="E992" s="3">
        <f t="shared" si="45"/>
        <v>44727</v>
      </c>
      <c r="F992">
        <f t="shared" si="46"/>
        <v>6</v>
      </c>
      <c r="G992" s="4">
        <f t="shared" si="47"/>
        <v>13.733333337586373</v>
      </c>
      <c r="H992">
        <f>IF(COUNTIFS(B$2:B992,B992,E$2:E992,E992)=1,1,0)</f>
        <v>1</v>
      </c>
      <c r="I992">
        <f>IF(COUNTIFS(B$2:B992,B992,F$2:F992,F992)=1,1,0)</f>
        <v>0</v>
      </c>
    </row>
    <row r="993" spans="1:9" x14ac:dyDescent="0.3">
      <c r="A993">
        <v>1003</v>
      </c>
      <c r="B993">
        <v>88</v>
      </c>
      <c r="C993" s="2">
        <v>44727.265486111108</v>
      </c>
      <c r="D993" s="2">
        <v>44727.272800925923</v>
      </c>
      <c r="E993" s="3">
        <f t="shared" si="45"/>
        <v>44727</v>
      </c>
      <c r="F993">
        <f t="shared" si="46"/>
        <v>6</v>
      </c>
      <c r="G993" s="4">
        <f t="shared" si="47"/>
        <v>10.533333333441988</v>
      </c>
      <c r="H993">
        <f>IF(COUNTIFS(B$2:B993,B993,E$2:E993,E993)=1,1,0)</f>
        <v>0</v>
      </c>
      <c r="I993">
        <f>IF(COUNTIFS(B$2:B993,B993,F$2:F993,F993)=1,1,0)</f>
        <v>0</v>
      </c>
    </row>
    <row r="994" spans="1:9" x14ac:dyDescent="0.3">
      <c r="A994">
        <v>1004</v>
      </c>
      <c r="B994">
        <v>88</v>
      </c>
      <c r="C994" s="2">
        <v>44727.554016203707</v>
      </c>
      <c r="D994" s="2">
        <v>44727.561412037037</v>
      </c>
      <c r="E994" s="3">
        <f t="shared" si="45"/>
        <v>44727</v>
      </c>
      <c r="F994">
        <f t="shared" si="46"/>
        <v>6</v>
      </c>
      <c r="G994" s="4">
        <f t="shared" si="47"/>
        <v>10.649999995948747</v>
      </c>
      <c r="H994">
        <f>IF(COUNTIFS(B$2:B994,B994,E$2:E994,E994)=1,1,0)</f>
        <v>0</v>
      </c>
      <c r="I994">
        <f>IF(COUNTIFS(B$2:B994,B994,F$2:F994,F994)=1,1,0)</f>
        <v>0</v>
      </c>
    </row>
    <row r="995" spans="1:9" x14ac:dyDescent="0.3">
      <c r="A995">
        <v>1005</v>
      </c>
      <c r="B995">
        <v>88</v>
      </c>
      <c r="C995" s="2">
        <v>44727.749166666668</v>
      </c>
      <c r="D995" s="2">
        <v>44727.757152777776</v>
      </c>
      <c r="E995" s="3">
        <f t="shared" si="45"/>
        <v>44727</v>
      </c>
      <c r="F995">
        <f t="shared" si="46"/>
        <v>6</v>
      </c>
      <c r="G995" s="4">
        <f t="shared" si="47"/>
        <v>11.499999995576218</v>
      </c>
      <c r="H995">
        <f>IF(COUNTIFS(B$2:B995,B995,E$2:E995,E995)=1,1,0)</f>
        <v>0</v>
      </c>
      <c r="I995">
        <f>IF(COUNTIFS(B$2:B995,B995,F$2:F995,F995)=1,1,0)</f>
        <v>0</v>
      </c>
    </row>
    <row r="996" spans="1:9" x14ac:dyDescent="0.3">
      <c r="A996">
        <v>1006</v>
      </c>
      <c r="B996">
        <v>88</v>
      </c>
      <c r="C996" s="2">
        <v>44728.030219907407</v>
      </c>
      <c r="D996" s="2">
        <v>44728.036828703705</v>
      </c>
      <c r="E996" s="3">
        <f t="shared" si="45"/>
        <v>44728</v>
      </c>
      <c r="F996">
        <f t="shared" si="46"/>
        <v>6</v>
      </c>
      <c r="G996" s="4">
        <f t="shared" si="47"/>
        <v>9.5166666700970381</v>
      </c>
      <c r="H996">
        <f>IF(COUNTIFS(B$2:B996,B996,E$2:E996,E996)=1,1,0)</f>
        <v>1</v>
      </c>
      <c r="I996">
        <f>IF(COUNTIFS(B$2:B996,B996,F$2:F996,F996)=1,1,0)</f>
        <v>0</v>
      </c>
    </row>
    <row r="997" spans="1:9" x14ac:dyDescent="0.3">
      <c r="A997">
        <v>1007</v>
      </c>
      <c r="B997">
        <v>88</v>
      </c>
      <c r="C997" s="2">
        <v>44728.270428240743</v>
      </c>
      <c r="D997" s="2">
        <v>44728.273275462961</v>
      </c>
      <c r="E997" s="3">
        <f t="shared" si="45"/>
        <v>44728</v>
      </c>
      <c r="F997">
        <f t="shared" si="46"/>
        <v>6</v>
      </c>
      <c r="G997" s="4">
        <f t="shared" si="47"/>
        <v>4.0999999945051968</v>
      </c>
      <c r="H997">
        <f>IF(COUNTIFS(B$2:B997,B997,E$2:E997,E997)=1,1,0)</f>
        <v>0</v>
      </c>
      <c r="I997">
        <f>IF(COUNTIFS(B$2:B997,B997,F$2:F997,F997)=1,1,0)</f>
        <v>0</v>
      </c>
    </row>
    <row r="998" spans="1:9" x14ac:dyDescent="0.3">
      <c r="A998">
        <v>1008</v>
      </c>
      <c r="B998">
        <v>88</v>
      </c>
      <c r="C998" s="2">
        <v>44728.460196759261</v>
      </c>
      <c r="D998" s="2">
        <v>44728.470659722225</v>
      </c>
      <c r="E998" s="3">
        <f t="shared" si="45"/>
        <v>44728</v>
      </c>
      <c r="F998">
        <f t="shared" si="46"/>
        <v>6</v>
      </c>
      <c r="G998" s="4">
        <f t="shared" si="47"/>
        <v>15.066666668280959</v>
      </c>
      <c r="H998">
        <f>IF(COUNTIFS(B$2:B998,B998,E$2:E998,E998)=1,1,0)</f>
        <v>0</v>
      </c>
      <c r="I998">
        <f>IF(COUNTIFS(B$2:B998,B998,F$2:F998,F998)=1,1,0)</f>
        <v>0</v>
      </c>
    </row>
    <row r="999" spans="1:9" x14ac:dyDescent="0.3">
      <c r="A999">
        <v>1009</v>
      </c>
      <c r="B999">
        <v>88</v>
      </c>
      <c r="C999" s="2">
        <v>44728.523425925923</v>
      </c>
      <c r="D999" s="2">
        <v>44728.529895833337</v>
      </c>
      <c r="E999" s="3">
        <f t="shared" si="45"/>
        <v>44728</v>
      </c>
      <c r="F999">
        <f t="shared" si="46"/>
        <v>6</v>
      </c>
      <c r="G999" s="4">
        <f t="shared" si="47"/>
        <v>9.3166666757315397</v>
      </c>
      <c r="H999">
        <f>IF(COUNTIFS(B$2:B999,B999,E$2:E999,E999)=1,1,0)</f>
        <v>0</v>
      </c>
      <c r="I999">
        <f>IF(COUNTIFS(B$2:B999,B999,F$2:F999,F999)=1,1,0)</f>
        <v>0</v>
      </c>
    </row>
    <row r="1000" spans="1:9" x14ac:dyDescent="0.3">
      <c r="A1000">
        <v>1010</v>
      </c>
      <c r="B1000">
        <v>88</v>
      </c>
      <c r="C1000" s="2">
        <v>44728.672754629632</v>
      </c>
      <c r="D1000" s="2">
        <v>44728.677002314813</v>
      </c>
      <c r="E1000" s="3">
        <f t="shared" si="45"/>
        <v>44728</v>
      </c>
      <c r="F1000">
        <f t="shared" si="46"/>
        <v>6</v>
      </c>
      <c r="G1000" s="4">
        <f t="shared" si="47"/>
        <v>6.1166666611097753</v>
      </c>
      <c r="H1000">
        <f>IF(COUNTIFS(B$2:B1000,B1000,E$2:E1000,E1000)=1,1,0)</f>
        <v>0</v>
      </c>
      <c r="I1000">
        <f>IF(COUNTIFS(B$2:B1000,B1000,F$2:F1000,F1000)=1,1,0)</f>
        <v>0</v>
      </c>
    </row>
    <row r="1001" spans="1:9" x14ac:dyDescent="0.3">
      <c r="A1001">
        <v>1011</v>
      </c>
      <c r="B1001">
        <v>88</v>
      </c>
      <c r="C1001" s="2">
        <v>44728.904351851852</v>
      </c>
      <c r="D1001" s="2">
        <v>44728.909988425927</v>
      </c>
      <c r="E1001" s="3">
        <f t="shared" si="45"/>
        <v>44728</v>
      </c>
      <c r="F1001">
        <f t="shared" si="46"/>
        <v>6</v>
      </c>
      <c r="G1001" s="4">
        <f t="shared" si="47"/>
        <v>8.1166666676290333</v>
      </c>
      <c r="H1001">
        <f>IF(COUNTIFS(B$2:B1001,B1001,E$2:E1001,E1001)=1,1,0)</f>
        <v>0</v>
      </c>
      <c r="I1001">
        <f>IF(COUNTIFS(B$2:B1001,B1001,F$2:F1001,F1001)=1,1,0)</f>
        <v>0</v>
      </c>
    </row>
    <row r="1002" spans="1:9" x14ac:dyDescent="0.3">
      <c r="A1002">
        <v>1012</v>
      </c>
      <c r="B1002">
        <v>88</v>
      </c>
      <c r="C1002" s="2">
        <v>44729.168402777781</v>
      </c>
      <c r="D1002" s="2">
        <v>44729.171932870369</v>
      </c>
      <c r="E1002" s="3">
        <f t="shared" si="45"/>
        <v>44729</v>
      </c>
      <c r="F1002">
        <f t="shared" si="46"/>
        <v>6</v>
      </c>
      <c r="G1002" s="4">
        <f t="shared" si="47"/>
        <v>5.0833333272021264</v>
      </c>
      <c r="H1002">
        <f>IF(COUNTIFS(B$2:B1002,B1002,E$2:E1002,E1002)=1,1,0)</f>
        <v>1</v>
      </c>
      <c r="I1002">
        <f>IF(COUNTIFS(B$2:B1002,B1002,F$2:F1002,F1002)=1,1,0)</f>
        <v>0</v>
      </c>
    </row>
    <row r="1003" spans="1:9" x14ac:dyDescent="0.3">
      <c r="A1003">
        <v>1013</v>
      </c>
      <c r="B1003">
        <v>88</v>
      </c>
      <c r="C1003" s="2">
        <v>44729.403136574074</v>
      </c>
      <c r="D1003" s="2">
        <v>44729.413321759261</v>
      </c>
      <c r="E1003" s="3">
        <f t="shared" si="45"/>
        <v>44729</v>
      </c>
      <c r="F1003">
        <f t="shared" si="46"/>
        <v>6</v>
      </c>
      <c r="G1003" s="4">
        <f t="shared" si="47"/>
        <v>14.666666669072583</v>
      </c>
      <c r="H1003">
        <f>IF(COUNTIFS(B$2:B1003,B1003,E$2:E1003,E1003)=1,1,0)</f>
        <v>0</v>
      </c>
      <c r="I1003">
        <f>IF(COUNTIFS(B$2:B1003,B1003,F$2:F1003,F1003)=1,1,0)</f>
        <v>0</v>
      </c>
    </row>
    <row r="1004" spans="1:9" x14ac:dyDescent="0.3">
      <c r="A1004">
        <v>1014</v>
      </c>
      <c r="B1004">
        <v>88</v>
      </c>
      <c r="C1004" s="2">
        <v>44729.607893518521</v>
      </c>
      <c r="D1004" s="2">
        <v>44729.617962962962</v>
      </c>
      <c r="E1004" s="3">
        <f t="shared" si="45"/>
        <v>44729</v>
      </c>
      <c r="F1004">
        <f t="shared" si="46"/>
        <v>6</v>
      </c>
      <c r="G1004" s="4">
        <f t="shared" si="47"/>
        <v>14.499999994877726</v>
      </c>
      <c r="H1004">
        <f>IF(COUNTIFS(B$2:B1004,B1004,E$2:E1004,E1004)=1,1,0)</f>
        <v>0</v>
      </c>
      <c r="I1004">
        <f>IF(COUNTIFS(B$2:B1004,B1004,F$2:F1004,F1004)=1,1,0)</f>
        <v>0</v>
      </c>
    </row>
    <row r="1005" spans="1:9" x14ac:dyDescent="0.3">
      <c r="A1005">
        <v>1015</v>
      </c>
      <c r="B1005">
        <v>88</v>
      </c>
      <c r="C1005" s="2">
        <v>44729.662511574075</v>
      </c>
      <c r="D1005" s="2">
        <v>44729.667395833334</v>
      </c>
      <c r="E1005" s="3">
        <f t="shared" si="45"/>
        <v>44729</v>
      </c>
      <c r="F1005">
        <f t="shared" si="46"/>
        <v>6</v>
      </c>
      <c r="G1005" s="4">
        <f t="shared" si="47"/>
        <v>7.0333333325106651</v>
      </c>
      <c r="H1005">
        <f>IF(COUNTIFS(B$2:B1005,B1005,E$2:E1005,E1005)=1,1,0)</f>
        <v>0</v>
      </c>
      <c r="I1005">
        <f>IF(COUNTIFS(B$2:B1005,B1005,F$2:F1005,F1005)=1,1,0)</f>
        <v>0</v>
      </c>
    </row>
    <row r="1006" spans="1:9" x14ac:dyDescent="0.3">
      <c r="A1006">
        <v>1016</v>
      </c>
      <c r="B1006">
        <v>88</v>
      </c>
      <c r="C1006" s="2">
        <v>44729.741180555553</v>
      </c>
      <c r="D1006" s="2">
        <v>44729.751284722224</v>
      </c>
      <c r="E1006" s="3">
        <f t="shared" si="45"/>
        <v>44729</v>
      </c>
      <c r="F1006">
        <f t="shared" si="46"/>
        <v>6</v>
      </c>
      <c r="G1006" s="4">
        <f t="shared" si="47"/>
        <v>14.550000006565824</v>
      </c>
      <c r="H1006">
        <f>IF(COUNTIFS(B$2:B1006,B1006,E$2:E1006,E1006)=1,1,0)</f>
        <v>0</v>
      </c>
      <c r="I1006">
        <f>IF(COUNTIFS(B$2:B1006,B1006,F$2:F1006,F1006)=1,1,0)</f>
        <v>0</v>
      </c>
    </row>
    <row r="1007" spans="1:9" x14ac:dyDescent="0.3">
      <c r="A1007">
        <v>1017</v>
      </c>
      <c r="B1007">
        <v>88</v>
      </c>
      <c r="C1007" s="2">
        <v>44729.845138888886</v>
      </c>
      <c r="D1007" s="2">
        <v>44729.85392361111</v>
      </c>
      <c r="E1007" s="3">
        <f t="shared" si="45"/>
        <v>44729</v>
      </c>
      <c r="F1007">
        <f t="shared" si="46"/>
        <v>6</v>
      </c>
      <c r="G1007" s="4">
        <f t="shared" si="47"/>
        <v>12.650000002468005</v>
      </c>
      <c r="H1007">
        <f>IF(COUNTIFS(B$2:B1007,B1007,E$2:E1007,E1007)=1,1,0)</f>
        <v>0</v>
      </c>
      <c r="I1007">
        <f>IF(COUNTIFS(B$2:B1007,B1007,F$2:F1007,F1007)=1,1,0)</f>
        <v>0</v>
      </c>
    </row>
    <row r="1008" spans="1:9" x14ac:dyDescent="0.3">
      <c r="A1008">
        <v>1018</v>
      </c>
      <c r="B1008">
        <v>88</v>
      </c>
      <c r="C1008" s="2">
        <v>44729.908206018517</v>
      </c>
      <c r="D1008" s="2">
        <v>44729.916770833333</v>
      </c>
      <c r="E1008" s="3">
        <f t="shared" si="45"/>
        <v>44729</v>
      </c>
      <c r="F1008">
        <f t="shared" si="46"/>
        <v>6</v>
      </c>
      <c r="G1008" s="4">
        <f t="shared" si="47"/>
        <v>12.333333335118368</v>
      </c>
      <c r="H1008">
        <f>IF(COUNTIFS(B$2:B1008,B1008,E$2:E1008,E1008)=1,1,0)</f>
        <v>0</v>
      </c>
      <c r="I1008">
        <f>IF(COUNTIFS(B$2:B1008,B1008,F$2:F1008,F1008)=1,1,0)</f>
        <v>0</v>
      </c>
    </row>
    <row r="1009" spans="1:9" x14ac:dyDescent="0.3">
      <c r="A1009">
        <v>1019</v>
      </c>
      <c r="B1009">
        <v>88</v>
      </c>
      <c r="C1009" s="2">
        <v>44730.000891203701</v>
      </c>
      <c r="D1009" s="2">
        <v>44730.007476851853</v>
      </c>
      <c r="E1009" s="3">
        <f t="shared" si="45"/>
        <v>44730</v>
      </c>
      <c r="F1009">
        <f t="shared" si="46"/>
        <v>6</v>
      </c>
      <c r="G1009" s="4">
        <f t="shared" si="47"/>
        <v>9.4833333394490182</v>
      </c>
      <c r="H1009">
        <f>IF(COUNTIFS(B$2:B1009,B1009,E$2:E1009,E1009)=1,1,0)</f>
        <v>1</v>
      </c>
      <c r="I1009">
        <f>IF(COUNTIFS(B$2:B1009,B1009,F$2:F1009,F1009)=1,1,0)</f>
        <v>0</v>
      </c>
    </row>
    <row r="1010" spans="1:9" x14ac:dyDescent="0.3">
      <c r="A1010">
        <v>1020</v>
      </c>
      <c r="B1010">
        <v>88</v>
      </c>
      <c r="C1010" s="2">
        <v>44730.248483796298</v>
      </c>
      <c r="D1010" s="2">
        <v>44730.252743055556</v>
      </c>
      <c r="E1010" s="3">
        <f t="shared" si="45"/>
        <v>44730</v>
      </c>
      <c r="F1010">
        <f t="shared" si="46"/>
        <v>6</v>
      </c>
      <c r="G1010" s="4">
        <f t="shared" si="47"/>
        <v>6.1333333316724747</v>
      </c>
      <c r="H1010">
        <f>IF(COUNTIFS(B$2:B1010,B1010,E$2:E1010,E1010)=1,1,0)</f>
        <v>0</v>
      </c>
      <c r="I1010">
        <f>IF(COUNTIFS(B$2:B1010,B1010,F$2:F1010,F1010)=1,1,0)</f>
        <v>0</v>
      </c>
    </row>
    <row r="1011" spans="1:9" x14ac:dyDescent="0.3">
      <c r="A1011">
        <v>1021</v>
      </c>
      <c r="B1011">
        <v>88</v>
      </c>
      <c r="C1011" s="2">
        <v>44730.505636574075</v>
      </c>
      <c r="D1011" s="2">
        <v>44730.51053240741</v>
      </c>
      <c r="E1011" s="3">
        <f t="shared" si="45"/>
        <v>44730</v>
      </c>
      <c r="F1011">
        <f t="shared" si="46"/>
        <v>6</v>
      </c>
      <c r="G1011" s="4">
        <f t="shared" si="47"/>
        <v>7.0500000030733645</v>
      </c>
      <c r="H1011">
        <f>IF(COUNTIFS(B$2:B1011,B1011,E$2:E1011,E1011)=1,1,0)</f>
        <v>0</v>
      </c>
      <c r="I1011">
        <f>IF(COUNTIFS(B$2:B1011,B1011,F$2:F1011,F1011)=1,1,0)</f>
        <v>0</v>
      </c>
    </row>
    <row r="1012" spans="1:9" x14ac:dyDescent="0.3">
      <c r="A1012">
        <v>1022</v>
      </c>
      <c r="B1012">
        <v>88</v>
      </c>
      <c r="C1012" s="2">
        <v>44730.557858796295</v>
      </c>
      <c r="D1012" s="2">
        <v>44730.561215277776</v>
      </c>
      <c r="E1012" s="3">
        <f t="shared" si="45"/>
        <v>44730</v>
      </c>
      <c r="F1012">
        <f t="shared" si="46"/>
        <v>6</v>
      </c>
      <c r="G1012" s="4">
        <f t="shared" si="47"/>
        <v>4.8333333316259086</v>
      </c>
      <c r="H1012">
        <f>IF(COUNTIFS(B$2:B1012,B1012,E$2:E1012,E1012)=1,1,0)</f>
        <v>0</v>
      </c>
      <c r="I1012">
        <f>IF(COUNTIFS(B$2:B1012,B1012,F$2:F1012,F1012)=1,1,0)</f>
        <v>0</v>
      </c>
    </row>
    <row r="1013" spans="1:9" x14ac:dyDescent="0.3">
      <c r="A1013">
        <v>1023</v>
      </c>
      <c r="B1013">
        <v>88</v>
      </c>
      <c r="C1013" s="2">
        <v>44730.721180555556</v>
      </c>
      <c r="D1013" s="2">
        <v>44730.725092592591</v>
      </c>
      <c r="E1013" s="3">
        <f t="shared" si="45"/>
        <v>44730</v>
      </c>
      <c r="F1013">
        <f t="shared" si="46"/>
        <v>6</v>
      </c>
      <c r="G1013" s="4">
        <f t="shared" si="47"/>
        <v>5.6333333300426602</v>
      </c>
      <c r="H1013">
        <f>IF(COUNTIFS(B$2:B1013,B1013,E$2:E1013,E1013)=1,1,0)</f>
        <v>0</v>
      </c>
      <c r="I1013">
        <f>IF(COUNTIFS(B$2:B1013,B1013,F$2:F1013,F1013)=1,1,0)</f>
        <v>0</v>
      </c>
    </row>
    <row r="1014" spans="1:9" x14ac:dyDescent="0.3">
      <c r="A1014">
        <v>1024</v>
      </c>
      <c r="B1014">
        <v>88</v>
      </c>
      <c r="C1014" s="2">
        <v>44730.806261574071</v>
      </c>
      <c r="D1014" s="2">
        <v>44730.814074074071</v>
      </c>
      <c r="E1014" s="3">
        <f t="shared" si="45"/>
        <v>44730</v>
      </c>
      <c r="F1014">
        <f t="shared" si="46"/>
        <v>6</v>
      </c>
      <c r="G1014" s="4">
        <f t="shared" si="47"/>
        <v>11.25</v>
      </c>
      <c r="H1014">
        <f>IF(COUNTIFS(B$2:B1014,B1014,E$2:E1014,E1014)=1,1,0)</f>
        <v>0</v>
      </c>
      <c r="I1014">
        <f>IF(COUNTIFS(B$2:B1014,B1014,F$2:F1014,F1014)=1,1,0)</f>
        <v>0</v>
      </c>
    </row>
    <row r="1015" spans="1:9" x14ac:dyDescent="0.3">
      <c r="A1015">
        <v>1025</v>
      </c>
      <c r="B1015">
        <v>88</v>
      </c>
      <c r="C1015" s="2">
        <v>44731.070902777778</v>
      </c>
      <c r="D1015" s="2">
        <v>44731.073587962965</v>
      </c>
      <c r="E1015" s="3">
        <f t="shared" si="45"/>
        <v>44731</v>
      </c>
      <c r="F1015">
        <f t="shared" si="46"/>
        <v>6</v>
      </c>
      <c r="G1015" s="4">
        <f t="shared" si="47"/>
        <v>3.8666666694916785</v>
      </c>
      <c r="H1015">
        <f>IF(COUNTIFS(B$2:B1015,B1015,E$2:E1015,E1015)=1,1,0)</f>
        <v>1</v>
      </c>
      <c r="I1015">
        <f>IF(COUNTIFS(B$2:B1015,B1015,F$2:F1015,F1015)=1,1,0)</f>
        <v>0</v>
      </c>
    </row>
    <row r="1016" spans="1:9" x14ac:dyDescent="0.3">
      <c r="A1016">
        <v>1026</v>
      </c>
      <c r="B1016">
        <v>88</v>
      </c>
      <c r="C1016" s="2">
        <v>44731.283171296294</v>
      </c>
      <c r="D1016" s="2">
        <v>44731.288611111115</v>
      </c>
      <c r="E1016" s="3">
        <f t="shared" si="45"/>
        <v>44731</v>
      </c>
      <c r="F1016">
        <f t="shared" si="46"/>
        <v>6</v>
      </c>
      <c r="G1016" s="4">
        <f t="shared" si="47"/>
        <v>7.8333333414047956</v>
      </c>
      <c r="H1016">
        <f>IF(COUNTIFS(B$2:B1016,B1016,E$2:E1016,E1016)=1,1,0)</f>
        <v>0</v>
      </c>
      <c r="I1016">
        <f>IF(COUNTIFS(B$2:B1016,B1016,F$2:F1016,F1016)=1,1,0)</f>
        <v>0</v>
      </c>
    </row>
    <row r="1017" spans="1:9" x14ac:dyDescent="0.3">
      <c r="A1017">
        <v>1027</v>
      </c>
      <c r="B1017">
        <v>88</v>
      </c>
      <c r="C1017" s="2">
        <v>44731.600590277776</v>
      </c>
      <c r="D1017" s="2">
        <v>44731.605868055558</v>
      </c>
      <c r="E1017" s="3">
        <f t="shared" si="45"/>
        <v>44731</v>
      </c>
      <c r="F1017">
        <f t="shared" si="46"/>
        <v>6</v>
      </c>
      <c r="G1017" s="4">
        <f t="shared" si="47"/>
        <v>7.6000000059138983</v>
      </c>
      <c r="H1017">
        <f>IF(COUNTIFS(B$2:B1017,B1017,E$2:E1017,E1017)=1,1,0)</f>
        <v>0</v>
      </c>
      <c r="I1017">
        <f>IF(COUNTIFS(B$2:B1017,B1017,F$2:F1017,F1017)=1,1,0)</f>
        <v>0</v>
      </c>
    </row>
    <row r="1018" spans="1:9" x14ac:dyDescent="0.3">
      <c r="A1018">
        <v>1028</v>
      </c>
      <c r="B1018">
        <v>88</v>
      </c>
      <c r="C1018" s="2">
        <v>44731.884710648148</v>
      </c>
      <c r="D1018" s="2">
        <v>44731.888506944444</v>
      </c>
      <c r="E1018" s="3">
        <f t="shared" si="45"/>
        <v>44731</v>
      </c>
      <c r="F1018">
        <f t="shared" si="46"/>
        <v>6</v>
      </c>
      <c r="G1018" s="4">
        <f t="shared" si="47"/>
        <v>5.4666666663251817</v>
      </c>
      <c r="H1018">
        <f>IF(COUNTIFS(B$2:B1018,B1018,E$2:E1018,E1018)=1,1,0)</f>
        <v>0</v>
      </c>
      <c r="I1018">
        <f>IF(COUNTIFS(B$2:B1018,B1018,F$2:F1018,F1018)=1,1,0)</f>
        <v>0</v>
      </c>
    </row>
    <row r="1019" spans="1:9" x14ac:dyDescent="0.3">
      <c r="A1019">
        <v>1029</v>
      </c>
      <c r="B1019">
        <v>88</v>
      </c>
      <c r="C1019" s="2">
        <v>44732.023969907408</v>
      </c>
      <c r="D1019" s="2">
        <v>44732.028784722221</v>
      </c>
      <c r="E1019" s="3">
        <f t="shared" si="45"/>
        <v>44732</v>
      </c>
      <c r="F1019">
        <f t="shared" si="46"/>
        <v>6</v>
      </c>
      <c r="G1019" s="4">
        <f t="shared" si="47"/>
        <v>6.9333333300892264</v>
      </c>
      <c r="H1019">
        <f>IF(COUNTIFS(B$2:B1019,B1019,E$2:E1019,E1019)=1,1,0)</f>
        <v>1</v>
      </c>
      <c r="I1019">
        <f>IF(COUNTIFS(B$2:B1019,B1019,F$2:F1019,F1019)=1,1,0)</f>
        <v>0</v>
      </c>
    </row>
    <row r="1020" spans="1:9" x14ac:dyDescent="0.3">
      <c r="A1020">
        <v>1030</v>
      </c>
      <c r="B1020">
        <v>88</v>
      </c>
      <c r="C1020" s="2">
        <v>44732.10900462963</v>
      </c>
      <c r="D1020" s="2">
        <v>44732.113402777781</v>
      </c>
      <c r="E1020" s="3">
        <f t="shared" si="45"/>
        <v>44732</v>
      </c>
      <c r="F1020">
        <f t="shared" si="46"/>
        <v>6</v>
      </c>
      <c r="G1020" s="4">
        <f t="shared" si="47"/>
        <v>6.3333333365153521</v>
      </c>
      <c r="H1020">
        <f>IF(COUNTIFS(B$2:B1020,B1020,E$2:E1020,E1020)=1,1,0)</f>
        <v>0</v>
      </c>
      <c r="I1020">
        <f>IF(COUNTIFS(B$2:B1020,B1020,F$2:F1020,F1020)=1,1,0)</f>
        <v>0</v>
      </c>
    </row>
    <row r="1021" spans="1:9" x14ac:dyDescent="0.3">
      <c r="A1021">
        <v>1031</v>
      </c>
      <c r="B1021">
        <v>88</v>
      </c>
      <c r="C1021" s="2">
        <v>44732.367534722223</v>
      </c>
      <c r="D1021" s="2">
        <v>44732.36959490741</v>
      </c>
      <c r="E1021" s="3">
        <f t="shared" si="45"/>
        <v>44732</v>
      </c>
      <c r="F1021">
        <f t="shared" si="46"/>
        <v>6</v>
      </c>
      <c r="G1021" s="4">
        <f t="shared" si="47"/>
        <v>2.9666666686534882</v>
      </c>
      <c r="H1021">
        <f>IF(COUNTIFS(B$2:B1021,B1021,E$2:E1021,E1021)=1,1,0)</f>
        <v>0</v>
      </c>
      <c r="I1021">
        <f>IF(COUNTIFS(B$2:B1021,B1021,F$2:F1021,F1021)=1,1,0)</f>
        <v>0</v>
      </c>
    </row>
    <row r="1022" spans="1:9" x14ac:dyDescent="0.3">
      <c r="A1022">
        <v>1032</v>
      </c>
      <c r="B1022">
        <v>88</v>
      </c>
      <c r="C1022" s="2">
        <v>44732.692465277774</v>
      </c>
      <c r="D1022" s="2">
        <v>44732.7</v>
      </c>
      <c r="E1022" s="3">
        <f t="shared" si="45"/>
        <v>44732</v>
      </c>
      <c r="F1022">
        <f t="shared" si="46"/>
        <v>6</v>
      </c>
      <c r="G1022" s="4">
        <f t="shared" si="47"/>
        <v>10.850000000791624</v>
      </c>
      <c r="H1022">
        <f>IF(COUNTIFS(B$2:B1022,B1022,E$2:E1022,E1022)=1,1,0)</f>
        <v>0</v>
      </c>
      <c r="I1022">
        <f>IF(COUNTIFS(B$2:B1022,B1022,F$2:F1022,F1022)=1,1,0)</f>
        <v>0</v>
      </c>
    </row>
    <row r="1023" spans="1:9" x14ac:dyDescent="0.3">
      <c r="A1023">
        <v>1033</v>
      </c>
      <c r="B1023">
        <v>89</v>
      </c>
      <c r="C1023" s="2">
        <v>44805.711412037039</v>
      </c>
      <c r="D1023" s="2">
        <v>44805.712534722225</v>
      </c>
      <c r="E1023" s="3">
        <f t="shared" si="45"/>
        <v>44805</v>
      </c>
      <c r="F1023">
        <f t="shared" si="46"/>
        <v>9</v>
      </c>
      <c r="G1023" s="4">
        <f t="shared" si="47"/>
        <v>1.6166666673962027</v>
      </c>
      <c r="H1023">
        <f>IF(COUNTIFS(B$2:B1023,B1023,E$2:E1023,E1023)=1,1,0)</f>
        <v>1</v>
      </c>
      <c r="I1023">
        <f>IF(COUNTIFS(B$2:B1023,B1023,F$2:F1023,F1023)=1,1,0)</f>
        <v>1</v>
      </c>
    </row>
    <row r="1024" spans="1:9" x14ac:dyDescent="0.3">
      <c r="A1024">
        <v>1034</v>
      </c>
      <c r="B1024">
        <v>89</v>
      </c>
      <c r="C1024" s="2">
        <v>44805.914548611108</v>
      </c>
      <c r="D1024" s="2">
        <v>44805.920694444445</v>
      </c>
      <c r="E1024" s="3">
        <f t="shared" si="45"/>
        <v>44805</v>
      </c>
      <c r="F1024">
        <f t="shared" si="46"/>
        <v>9</v>
      </c>
      <c r="G1024" s="4">
        <f t="shared" si="47"/>
        <v>8.8500000047497451</v>
      </c>
      <c r="H1024">
        <f>IF(COUNTIFS(B$2:B1024,B1024,E$2:E1024,E1024)=1,1,0)</f>
        <v>0</v>
      </c>
      <c r="I1024">
        <f>IF(COUNTIFS(B$2:B1024,B1024,F$2:F1024,F1024)=1,1,0)</f>
        <v>0</v>
      </c>
    </row>
    <row r="1025" spans="1:9" x14ac:dyDescent="0.3">
      <c r="A1025">
        <v>1035</v>
      </c>
      <c r="B1025">
        <v>89</v>
      </c>
      <c r="C1025" s="2">
        <v>44806.0858912037</v>
      </c>
      <c r="D1025" s="2">
        <v>44806.08935185185</v>
      </c>
      <c r="E1025" s="3">
        <f t="shared" si="45"/>
        <v>44806</v>
      </c>
      <c r="F1025">
        <f t="shared" si="46"/>
        <v>9</v>
      </c>
      <c r="G1025" s="4">
        <f t="shared" si="47"/>
        <v>4.9833333352580667</v>
      </c>
      <c r="H1025">
        <f>IF(COUNTIFS(B$2:B1025,B1025,E$2:E1025,E1025)=1,1,0)</f>
        <v>1</v>
      </c>
      <c r="I1025">
        <f>IF(COUNTIFS(B$2:B1025,B1025,F$2:F1025,F1025)=1,1,0)</f>
        <v>0</v>
      </c>
    </row>
    <row r="1026" spans="1:9" x14ac:dyDescent="0.3">
      <c r="A1026">
        <v>1036</v>
      </c>
      <c r="B1026">
        <v>89</v>
      </c>
      <c r="C1026" s="2">
        <v>44806.187256944446</v>
      </c>
      <c r="D1026" s="2">
        <v>44806.194016203706</v>
      </c>
      <c r="E1026" s="3">
        <f t="shared" ref="E1026:E1089" si="48">INT(C1026)</f>
        <v>44806</v>
      </c>
      <c r="F1026">
        <f t="shared" ref="F1026:F1089" si="49">MONTH(C1026)</f>
        <v>9</v>
      </c>
      <c r="G1026" s="4">
        <f t="shared" ref="G1026:G1089" si="50">(D1026-C1026)*1440</f>
        <v>9.733333335025236</v>
      </c>
      <c r="H1026">
        <f>IF(COUNTIFS(B$2:B1026,B1026,E$2:E1026,E1026)=1,1,0)</f>
        <v>0</v>
      </c>
      <c r="I1026">
        <f>IF(COUNTIFS(B$2:B1026,B1026,F$2:F1026,F1026)=1,1,0)</f>
        <v>0</v>
      </c>
    </row>
    <row r="1027" spans="1:9" x14ac:dyDescent="0.3">
      <c r="A1027">
        <v>1037</v>
      </c>
      <c r="B1027">
        <v>89</v>
      </c>
      <c r="C1027" s="2">
        <v>44806.275219907409</v>
      </c>
      <c r="D1027" s="2">
        <v>44806.286238425928</v>
      </c>
      <c r="E1027" s="3">
        <f t="shared" si="48"/>
        <v>44806</v>
      </c>
      <c r="F1027">
        <f t="shared" si="49"/>
        <v>9</v>
      </c>
      <c r="G1027" s="4">
        <f t="shared" si="50"/>
        <v>15.866666666697711</v>
      </c>
      <c r="H1027">
        <f>IF(COUNTIFS(B$2:B1027,B1027,E$2:E1027,E1027)=1,1,0)</f>
        <v>0</v>
      </c>
      <c r="I1027">
        <f>IF(COUNTIFS(B$2:B1027,B1027,F$2:F1027,F1027)=1,1,0)</f>
        <v>0</v>
      </c>
    </row>
    <row r="1028" spans="1:9" x14ac:dyDescent="0.3">
      <c r="A1028">
        <v>1038</v>
      </c>
      <c r="B1028">
        <v>89</v>
      </c>
      <c r="C1028" s="2">
        <v>44806.547997685186</v>
      </c>
      <c r="D1028" s="2">
        <v>44806.554375</v>
      </c>
      <c r="E1028" s="3">
        <f t="shared" si="48"/>
        <v>44806</v>
      </c>
      <c r="F1028">
        <f t="shared" si="49"/>
        <v>9</v>
      </c>
      <c r="G1028" s="4">
        <f t="shared" si="50"/>
        <v>9.1833333321847022</v>
      </c>
      <c r="H1028">
        <f>IF(COUNTIFS(B$2:B1028,B1028,E$2:E1028,E1028)=1,1,0)</f>
        <v>0</v>
      </c>
      <c r="I1028">
        <f>IF(COUNTIFS(B$2:B1028,B1028,F$2:F1028,F1028)=1,1,0)</f>
        <v>0</v>
      </c>
    </row>
    <row r="1029" spans="1:9" x14ac:dyDescent="0.3">
      <c r="A1029">
        <v>1039</v>
      </c>
      <c r="B1029">
        <v>89</v>
      </c>
      <c r="C1029" s="2">
        <v>44806.68509259259</v>
      </c>
      <c r="D1029" s="2">
        <v>44806.690706018519</v>
      </c>
      <c r="E1029" s="3">
        <f t="shared" si="48"/>
        <v>44806</v>
      </c>
      <c r="F1029">
        <f t="shared" si="49"/>
        <v>9</v>
      </c>
      <c r="G1029" s="4">
        <f t="shared" si="50"/>
        <v>8.0833333369810134</v>
      </c>
      <c r="H1029">
        <f>IF(COUNTIFS(B$2:B1029,B1029,E$2:E1029,E1029)=1,1,0)</f>
        <v>0</v>
      </c>
      <c r="I1029">
        <f>IF(COUNTIFS(B$2:B1029,B1029,F$2:F1029,F1029)=1,1,0)</f>
        <v>0</v>
      </c>
    </row>
    <row r="1030" spans="1:9" x14ac:dyDescent="0.3">
      <c r="A1030">
        <v>1040</v>
      </c>
      <c r="B1030">
        <v>90</v>
      </c>
      <c r="C1030" s="2">
        <v>44575.962743055556</v>
      </c>
      <c r="D1030" s="2">
        <v>44575.969710648147</v>
      </c>
      <c r="E1030" s="3">
        <f t="shared" si="48"/>
        <v>44575</v>
      </c>
      <c r="F1030">
        <f t="shared" si="49"/>
        <v>1</v>
      </c>
      <c r="G1030" s="4">
        <f t="shared" si="50"/>
        <v>10.033333331812173</v>
      </c>
      <c r="H1030">
        <f>IF(COUNTIFS(B$2:B1030,B1030,E$2:E1030,E1030)=1,1,0)</f>
        <v>1</v>
      </c>
      <c r="I1030">
        <f>IF(COUNTIFS(B$2:B1030,B1030,F$2:F1030,F1030)=1,1,0)</f>
        <v>1</v>
      </c>
    </row>
    <row r="1031" spans="1:9" x14ac:dyDescent="0.3">
      <c r="A1031">
        <v>1041</v>
      </c>
      <c r="B1031">
        <v>90</v>
      </c>
      <c r="C1031" s="2">
        <v>44576.125428240739</v>
      </c>
      <c r="D1031" s="2">
        <v>44576.132534722223</v>
      </c>
      <c r="E1031" s="3">
        <f t="shared" si="48"/>
        <v>44576</v>
      </c>
      <c r="F1031">
        <f t="shared" si="49"/>
        <v>1</v>
      </c>
      <c r="G1031" s="4">
        <f t="shared" si="50"/>
        <v>10.233333336655051</v>
      </c>
      <c r="H1031">
        <f>IF(COUNTIFS(B$2:B1031,B1031,E$2:E1031,E1031)=1,1,0)</f>
        <v>1</v>
      </c>
      <c r="I1031">
        <f>IF(COUNTIFS(B$2:B1031,B1031,F$2:F1031,F1031)=1,1,0)</f>
        <v>0</v>
      </c>
    </row>
    <row r="1032" spans="1:9" x14ac:dyDescent="0.3">
      <c r="A1032">
        <v>1042</v>
      </c>
      <c r="B1032">
        <v>90</v>
      </c>
      <c r="C1032" s="2">
        <v>44576.419907407406</v>
      </c>
      <c r="D1032" s="2">
        <v>44576.42527777778</v>
      </c>
      <c r="E1032" s="3">
        <f t="shared" si="48"/>
        <v>44576</v>
      </c>
      <c r="F1032">
        <f t="shared" si="49"/>
        <v>1</v>
      </c>
      <c r="G1032" s="4">
        <f t="shared" si="50"/>
        <v>7.733333338983357</v>
      </c>
      <c r="H1032">
        <f>IF(COUNTIFS(B$2:B1032,B1032,E$2:E1032,E1032)=1,1,0)</f>
        <v>0</v>
      </c>
      <c r="I1032">
        <f>IF(COUNTIFS(B$2:B1032,B1032,F$2:F1032,F1032)=1,1,0)</f>
        <v>0</v>
      </c>
    </row>
    <row r="1033" spans="1:9" x14ac:dyDescent="0.3">
      <c r="A1033">
        <v>1043</v>
      </c>
      <c r="B1033">
        <v>90</v>
      </c>
      <c r="C1033" s="2">
        <v>44576.525266203702</v>
      </c>
      <c r="D1033" s="2">
        <v>44576.530081018522</v>
      </c>
      <c r="E1033" s="3">
        <f t="shared" si="48"/>
        <v>44576</v>
      </c>
      <c r="F1033">
        <f t="shared" si="49"/>
        <v>1</v>
      </c>
      <c r="G1033" s="4">
        <f t="shared" si="50"/>
        <v>6.9333333405666053</v>
      </c>
      <c r="H1033">
        <f>IF(COUNTIFS(B$2:B1033,B1033,E$2:E1033,E1033)=1,1,0)</f>
        <v>0</v>
      </c>
      <c r="I1033">
        <f>IF(COUNTIFS(B$2:B1033,B1033,F$2:F1033,F1033)=1,1,0)</f>
        <v>0</v>
      </c>
    </row>
    <row r="1034" spans="1:9" x14ac:dyDescent="0.3">
      <c r="A1034">
        <v>1044</v>
      </c>
      <c r="B1034">
        <v>90</v>
      </c>
      <c r="C1034" s="2">
        <v>44576.85052083333</v>
      </c>
      <c r="D1034" s="2">
        <v>44576.855555555558</v>
      </c>
      <c r="E1034" s="3">
        <f t="shared" si="48"/>
        <v>44576</v>
      </c>
      <c r="F1034">
        <f t="shared" si="49"/>
        <v>1</v>
      </c>
      <c r="G1034" s="4">
        <f t="shared" si="50"/>
        <v>7.2500000079162419</v>
      </c>
      <c r="H1034">
        <f>IF(COUNTIFS(B$2:B1034,B1034,E$2:E1034,E1034)=1,1,0)</f>
        <v>0</v>
      </c>
      <c r="I1034">
        <f>IF(COUNTIFS(B$2:B1034,B1034,F$2:F1034,F1034)=1,1,0)</f>
        <v>0</v>
      </c>
    </row>
    <row r="1035" spans="1:9" x14ac:dyDescent="0.3">
      <c r="A1035">
        <v>1045</v>
      </c>
      <c r="B1035">
        <v>90</v>
      </c>
      <c r="C1035" s="2">
        <v>44577.156886574077</v>
      </c>
      <c r="D1035" s="2">
        <v>44577.163935185185</v>
      </c>
      <c r="E1035" s="3">
        <f t="shared" si="48"/>
        <v>44577</v>
      </c>
      <c r="F1035">
        <f t="shared" si="49"/>
        <v>1</v>
      </c>
      <c r="G1035" s="4">
        <f t="shared" si="50"/>
        <v>10.149999994318932</v>
      </c>
      <c r="H1035">
        <f>IF(COUNTIFS(B$2:B1035,B1035,E$2:E1035,E1035)=1,1,0)</f>
        <v>1</v>
      </c>
      <c r="I1035">
        <f>IF(COUNTIFS(B$2:B1035,B1035,F$2:F1035,F1035)=1,1,0)</f>
        <v>0</v>
      </c>
    </row>
    <row r="1036" spans="1:9" x14ac:dyDescent="0.3">
      <c r="A1036">
        <v>1046</v>
      </c>
      <c r="B1036">
        <v>91</v>
      </c>
      <c r="C1036" s="2">
        <v>44565.918182870373</v>
      </c>
      <c r="D1036" s="2">
        <v>44565.922465277778</v>
      </c>
      <c r="E1036" s="3">
        <f t="shared" si="48"/>
        <v>44565</v>
      </c>
      <c r="F1036">
        <f t="shared" si="49"/>
        <v>1</v>
      </c>
      <c r="G1036" s="4">
        <f t="shared" si="50"/>
        <v>6.1666666623204947</v>
      </c>
      <c r="H1036">
        <f>IF(COUNTIFS(B$2:B1036,B1036,E$2:E1036,E1036)=1,1,0)</f>
        <v>1</v>
      </c>
      <c r="I1036">
        <f>IF(COUNTIFS(B$2:B1036,B1036,F$2:F1036,F1036)=1,1,0)</f>
        <v>1</v>
      </c>
    </row>
    <row r="1037" spans="1:9" x14ac:dyDescent="0.3">
      <c r="A1037">
        <v>1047</v>
      </c>
      <c r="B1037">
        <v>91</v>
      </c>
      <c r="C1037" s="2">
        <v>44566.013240740744</v>
      </c>
      <c r="D1037" s="2">
        <v>44566.018703703703</v>
      </c>
      <c r="E1037" s="3">
        <f t="shared" si="48"/>
        <v>44566</v>
      </c>
      <c r="F1037">
        <f t="shared" si="49"/>
        <v>1</v>
      </c>
      <c r="G1037" s="4">
        <f t="shared" si="50"/>
        <v>7.8666666615754366</v>
      </c>
      <c r="H1037">
        <f>IF(COUNTIFS(B$2:B1037,B1037,E$2:E1037,E1037)=1,1,0)</f>
        <v>1</v>
      </c>
      <c r="I1037">
        <f>IF(COUNTIFS(B$2:B1037,B1037,F$2:F1037,F1037)=1,1,0)</f>
        <v>0</v>
      </c>
    </row>
    <row r="1038" spans="1:9" x14ac:dyDescent="0.3">
      <c r="A1038">
        <v>1048</v>
      </c>
      <c r="B1038">
        <v>91</v>
      </c>
      <c r="C1038" s="2">
        <v>44566.251111111109</v>
      </c>
      <c r="D1038" s="2">
        <v>44566.252511574072</v>
      </c>
      <c r="E1038" s="3">
        <f t="shared" si="48"/>
        <v>44566</v>
      </c>
      <c r="F1038">
        <f t="shared" si="49"/>
        <v>1</v>
      </c>
      <c r="G1038" s="4">
        <f t="shared" si="50"/>
        <v>2.0166666666045785</v>
      </c>
      <c r="H1038">
        <f>IF(COUNTIFS(B$2:B1038,B1038,E$2:E1038,E1038)=1,1,0)</f>
        <v>0</v>
      </c>
      <c r="I1038">
        <f>IF(COUNTIFS(B$2:B1038,B1038,F$2:F1038,F1038)=1,1,0)</f>
        <v>0</v>
      </c>
    </row>
    <row r="1039" spans="1:9" x14ac:dyDescent="0.3">
      <c r="A1039">
        <v>1049</v>
      </c>
      <c r="B1039">
        <v>91</v>
      </c>
      <c r="C1039" s="2">
        <v>44566.575254629628</v>
      </c>
      <c r="D1039" s="2">
        <v>44566.58148148148</v>
      </c>
      <c r="E1039" s="3">
        <f t="shared" si="48"/>
        <v>44566</v>
      </c>
      <c r="F1039">
        <f t="shared" si="49"/>
        <v>1</v>
      </c>
      <c r="G1039" s="4">
        <f t="shared" si="50"/>
        <v>8.9666666672565043</v>
      </c>
      <c r="H1039">
        <f>IF(COUNTIFS(B$2:B1039,B1039,E$2:E1039,E1039)=1,1,0)</f>
        <v>0</v>
      </c>
      <c r="I1039">
        <f>IF(COUNTIFS(B$2:B1039,B1039,F$2:F1039,F1039)=1,1,0)</f>
        <v>0</v>
      </c>
    </row>
    <row r="1040" spans="1:9" x14ac:dyDescent="0.3">
      <c r="A1040">
        <v>1050</v>
      </c>
      <c r="B1040">
        <v>91</v>
      </c>
      <c r="C1040" s="2">
        <v>44566.740706018521</v>
      </c>
      <c r="D1040" s="2">
        <v>44566.743877314817</v>
      </c>
      <c r="E1040" s="3">
        <f t="shared" si="48"/>
        <v>44566</v>
      </c>
      <c r="F1040">
        <f t="shared" si="49"/>
        <v>1</v>
      </c>
      <c r="G1040" s="4">
        <f t="shared" si="50"/>
        <v>4.5666666654869914</v>
      </c>
      <c r="H1040">
        <f>IF(COUNTIFS(B$2:B1040,B1040,E$2:E1040,E1040)=1,1,0)</f>
        <v>0</v>
      </c>
      <c r="I1040">
        <f>IF(COUNTIFS(B$2:B1040,B1040,F$2:F1040,F1040)=1,1,0)</f>
        <v>0</v>
      </c>
    </row>
    <row r="1041" spans="1:9" x14ac:dyDescent="0.3">
      <c r="A1041">
        <v>1051</v>
      </c>
      <c r="B1041">
        <v>91</v>
      </c>
      <c r="C1041" s="2">
        <v>44566.81349537037</v>
      </c>
      <c r="D1041" s="2">
        <v>44566.819513888891</v>
      </c>
      <c r="E1041" s="3">
        <f t="shared" si="48"/>
        <v>44566</v>
      </c>
      <c r="F1041">
        <f t="shared" si="49"/>
        <v>1</v>
      </c>
      <c r="G1041" s="4">
        <f t="shared" si="50"/>
        <v>8.6666666704695672</v>
      </c>
      <c r="H1041">
        <f>IF(COUNTIFS(B$2:B1041,B1041,E$2:E1041,E1041)=1,1,0)</f>
        <v>0</v>
      </c>
      <c r="I1041">
        <f>IF(COUNTIFS(B$2:B1041,B1041,F$2:F1041,F1041)=1,1,0)</f>
        <v>0</v>
      </c>
    </row>
    <row r="1042" spans="1:9" x14ac:dyDescent="0.3">
      <c r="A1042">
        <v>1052</v>
      </c>
      <c r="B1042">
        <v>91</v>
      </c>
      <c r="C1042" s="2">
        <v>44566.981435185182</v>
      </c>
      <c r="D1042" s="2">
        <v>44566.989108796297</v>
      </c>
      <c r="E1042" s="3">
        <f t="shared" si="48"/>
        <v>44566</v>
      </c>
      <c r="F1042">
        <f t="shared" si="49"/>
        <v>1</v>
      </c>
      <c r="G1042" s="4">
        <f t="shared" si="50"/>
        <v>11.050000005634502</v>
      </c>
      <c r="H1042">
        <f>IF(COUNTIFS(B$2:B1042,B1042,E$2:E1042,E1042)=1,1,0)</f>
        <v>0</v>
      </c>
      <c r="I1042">
        <f>IF(COUNTIFS(B$2:B1042,B1042,F$2:F1042,F1042)=1,1,0)</f>
        <v>0</v>
      </c>
    </row>
    <row r="1043" spans="1:9" x14ac:dyDescent="0.3">
      <c r="A1043">
        <v>1053</v>
      </c>
      <c r="B1043">
        <v>91</v>
      </c>
      <c r="C1043" s="2">
        <v>44567.176018518519</v>
      </c>
      <c r="D1043" s="2">
        <v>44567.18377314815</v>
      </c>
      <c r="E1043" s="3">
        <f t="shared" si="48"/>
        <v>44567</v>
      </c>
      <c r="F1043">
        <f t="shared" si="49"/>
        <v>1</v>
      </c>
      <c r="G1043" s="4">
        <f t="shared" si="50"/>
        <v>11.166666668141261</v>
      </c>
      <c r="H1043">
        <f>IF(COUNTIFS(B$2:B1043,B1043,E$2:E1043,E1043)=1,1,0)</f>
        <v>1</v>
      </c>
      <c r="I1043">
        <f>IF(COUNTIFS(B$2:B1043,B1043,F$2:F1043,F1043)=1,1,0)</f>
        <v>0</v>
      </c>
    </row>
    <row r="1044" spans="1:9" x14ac:dyDescent="0.3">
      <c r="A1044">
        <v>1054</v>
      </c>
      <c r="B1044">
        <v>91</v>
      </c>
      <c r="C1044" s="2">
        <v>44567.27847222222</v>
      </c>
      <c r="D1044" s="2">
        <v>44567.288587962961</v>
      </c>
      <c r="E1044" s="3">
        <f t="shared" si="48"/>
        <v>44567</v>
      </c>
      <c r="F1044">
        <f t="shared" si="49"/>
        <v>1</v>
      </c>
      <c r="G1044" s="4">
        <f t="shared" si="50"/>
        <v>14.566666666651145</v>
      </c>
      <c r="H1044">
        <f>IF(COUNTIFS(B$2:B1044,B1044,E$2:E1044,E1044)=1,1,0)</f>
        <v>0</v>
      </c>
      <c r="I1044">
        <f>IF(COUNTIFS(B$2:B1044,B1044,F$2:F1044,F1044)=1,1,0)</f>
        <v>0</v>
      </c>
    </row>
    <row r="1045" spans="1:9" x14ac:dyDescent="0.3">
      <c r="A1045">
        <v>1055</v>
      </c>
      <c r="B1045">
        <v>92</v>
      </c>
      <c r="C1045" s="2">
        <v>44599.062638888892</v>
      </c>
      <c r="D1045" s="2">
        <v>44599.06591435185</v>
      </c>
      <c r="E1045" s="3">
        <f t="shared" si="48"/>
        <v>44599</v>
      </c>
      <c r="F1045">
        <f t="shared" si="49"/>
        <v>2</v>
      </c>
      <c r="G1045" s="4">
        <f t="shared" si="50"/>
        <v>4.7166666586417705</v>
      </c>
      <c r="H1045">
        <f>IF(COUNTIFS(B$2:B1045,B1045,E$2:E1045,E1045)=1,1,0)</f>
        <v>1</v>
      </c>
      <c r="I1045">
        <f>IF(COUNTIFS(B$2:B1045,B1045,F$2:F1045,F1045)=1,1,0)</f>
        <v>1</v>
      </c>
    </row>
    <row r="1046" spans="1:9" x14ac:dyDescent="0.3">
      <c r="A1046">
        <v>1056</v>
      </c>
      <c r="B1046">
        <v>93</v>
      </c>
      <c r="C1046" s="2">
        <v>44749.801111111112</v>
      </c>
      <c r="D1046" s="2">
        <v>44749.806215277778</v>
      </c>
      <c r="E1046" s="3">
        <f t="shared" si="48"/>
        <v>44749</v>
      </c>
      <c r="F1046">
        <f t="shared" si="49"/>
        <v>7</v>
      </c>
      <c r="G1046" s="4">
        <f t="shared" si="50"/>
        <v>7.3499999998603016</v>
      </c>
      <c r="H1046">
        <f>IF(COUNTIFS(B$2:B1046,B1046,E$2:E1046,E1046)=1,1,0)</f>
        <v>1</v>
      </c>
      <c r="I1046">
        <f>IF(COUNTIFS(B$2:B1046,B1046,F$2:F1046,F1046)=1,1,0)</f>
        <v>1</v>
      </c>
    </row>
    <row r="1047" spans="1:9" x14ac:dyDescent="0.3">
      <c r="A1047">
        <v>1057</v>
      </c>
      <c r="B1047">
        <v>93</v>
      </c>
      <c r="C1047" s="2">
        <v>44750.073958333334</v>
      </c>
      <c r="D1047" s="2">
        <v>44750.078587962962</v>
      </c>
      <c r="E1047" s="3">
        <f t="shared" si="48"/>
        <v>44750</v>
      </c>
      <c r="F1047">
        <f t="shared" si="49"/>
        <v>7</v>
      </c>
      <c r="G1047" s="4">
        <f t="shared" si="50"/>
        <v>6.6666666639503092</v>
      </c>
      <c r="H1047">
        <f>IF(COUNTIFS(B$2:B1047,B1047,E$2:E1047,E1047)=1,1,0)</f>
        <v>1</v>
      </c>
      <c r="I1047">
        <f>IF(COUNTIFS(B$2:B1047,B1047,F$2:F1047,F1047)=1,1,0)</f>
        <v>0</v>
      </c>
    </row>
    <row r="1048" spans="1:9" x14ac:dyDescent="0.3">
      <c r="A1048">
        <v>1058</v>
      </c>
      <c r="B1048">
        <v>93</v>
      </c>
      <c r="C1048" s="2">
        <v>44750.152407407404</v>
      </c>
      <c r="D1048" s="2">
        <v>44750.154108796298</v>
      </c>
      <c r="E1048" s="3">
        <f t="shared" si="48"/>
        <v>44750</v>
      </c>
      <c r="F1048">
        <f t="shared" si="49"/>
        <v>7</v>
      </c>
      <c r="G1048" s="4">
        <f t="shared" si="50"/>
        <v>2.4500000069383532</v>
      </c>
      <c r="H1048">
        <f>IF(COUNTIFS(B$2:B1048,B1048,E$2:E1048,E1048)=1,1,0)</f>
        <v>0</v>
      </c>
      <c r="I1048">
        <f>IF(COUNTIFS(B$2:B1048,B1048,F$2:F1048,F1048)=1,1,0)</f>
        <v>0</v>
      </c>
    </row>
    <row r="1049" spans="1:9" x14ac:dyDescent="0.3">
      <c r="A1049">
        <v>1059</v>
      </c>
      <c r="B1049">
        <v>93</v>
      </c>
      <c r="C1049" s="2">
        <v>44750.461643518516</v>
      </c>
      <c r="D1049" s="2">
        <v>44750.464895833335</v>
      </c>
      <c r="E1049" s="3">
        <f t="shared" si="48"/>
        <v>44750</v>
      </c>
      <c r="F1049">
        <f t="shared" si="49"/>
        <v>7</v>
      </c>
      <c r="G1049" s="4">
        <f t="shared" si="50"/>
        <v>4.6833333384711295</v>
      </c>
      <c r="H1049">
        <f>IF(COUNTIFS(B$2:B1049,B1049,E$2:E1049,E1049)=1,1,0)</f>
        <v>0</v>
      </c>
      <c r="I1049">
        <f>IF(COUNTIFS(B$2:B1049,B1049,F$2:F1049,F1049)=1,1,0)</f>
        <v>0</v>
      </c>
    </row>
    <row r="1050" spans="1:9" x14ac:dyDescent="0.3">
      <c r="A1050">
        <v>1060</v>
      </c>
      <c r="B1050">
        <v>93</v>
      </c>
      <c r="C1050" s="2">
        <v>44750.623182870368</v>
      </c>
      <c r="D1050" s="2">
        <v>44750.630798611113</v>
      </c>
      <c r="E1050" s="3">
        <f t="shared" si="48"/>
        <v>44750</v>
      </c>
      <c r="F1050">
        <f t="shared" si="49"/>
        <v>7</v>
      </c>
      <c r="G1050" s="4">
        <f t="shared" si="50"/>
        <v>10.966666673775762</v>
      </c>
      <c r="H1050">
        <f>IF(COUNTIFS(B$2:B1050,B1050,E$2:E1050,E1050)=1,1,0)</f>
        <v>0</v>
      </c>
      <c r="I1050">
        <f>IF(COUNTIFS(B$2:B1050,B1050,F$2:F1050,F1050)=1,1,0)</f>
        <v>0</v>
      </c>
    </row>
    <row r="1051" spans="1:9" x14ac:dyDescent="0.3">
      <c r="A1051">
        <v>1061</v>
      </c>
      <c r="B1051">
        <v>93</v>
      </c>
      <c r="C1051" s="2">
        <v>44750.761134259257</v>
      </c>
      <c r="D1051" s="2">
        <v>44750.762708333335</v>
      </c>
      <c r="E1051" s="3">
        <f t="shared" si="48"/>
        <v>44750</v>
      </c>
      <c r="F1051">
        <f t="shared" si="49"/>
        <v>7</v>
      </c>
      <c r="G1051" s="4">
        <f t="shared" si="50"/>
        <v>2.2666666726581752</v>
      </c>
      <c r="H1051">
        <f>IF(COUNTIFS(B$2:B1051,B1051,E$2:E1051,E1051)=1,1,0)</f>
        <v>0</v>
      </c>
      <c r="I1051">
        <f>IF(COUNTIFS(B$2:B1051,B1051,F$2:F1051,F1051)=1,1,0)</f>
        <v>0</v>
      </c>
    </row>
    <row r="1052" spans="1:9" x14ac:dyDescent="0.3">
      <c r="A1052">
        <v>1062</v>
      </c>
      <c r="B1052">
        <v>93</v>
      </c>
      <c r="C1052" s="2">
        <v>44750.828599537039</v>
      </c>
      <c r="D1052" s="2">
        <v>44750.836631944447</v>
      </c>
      <c r="E1052" s="3">
        <f t="shared" si="48"/>
        <v>44750</v>
      </c>
      <c r="F1052">
        <f t="shared" si="49"/>
        <v>7</v>
      </c>
      <c r="G1052" s="4">
        <f t="shared" si="50"/>
        <v>11.566666667349637</v>
      </c>
      <c r="H1052">
        <f>IF(COUNTIFS(B$2:B1052,B1052,E$2:E1052,E1052)=1,1,0)</f>
        <v>0</v>
      </c>
      <c r="I1052">
        <f>IF(COUNTIFS(B$2:B1052,B1052,F$2:F1052,F1052)=1,1,0)</f>
        <v>0</v>
      </c>
    </row>
    <row r="1053" spans="1:9" x14ac:dyDescent="0.3">
      <c r="A1053">
        <v>1063</v>
      </c>
      <c r="B1053">
        <v>93</v>
      </c>
      <c r="C1053" s="2">
        <v>44751.050844907404</v>
      </c>
      <c r="D1053" s="2">
        <v>44751.052754629629</v>
      </c>
      <c r="E1053" s="3">
        <f t="shared" si="48"/>
        <v>44751</v>
      </c>
      <c r="F1053">
        <f t="shared" si="49"/>
        <v>7</v>
      </c>
      <c r="G1053" s="4">
        <f t="shared" si="50"/>
        <v>2.7500000037252903</v>
      </c>
      <c r="H1053">
        <f>IF(COUNTIFS(B$2:B1053,B1053,E$2:E1053,E1053)=1,1,0)</f>
        <v>1</v>
      </c>
      <c r="I1053">
        <f>IF(COUNTIFS(B$2:B1053,B1053,F$2:F1053,F1053)=1,1,0)</f>
        <v>0</v>
      </c>
    </row>
    <row r="1054" spans="1:9" x14ac:dyDescent="0.3">
      <c r="A1054">
        <v>1064</v>
      </c>
      <c r="B1054">
        <v>93</v>
      </c>
      <c r="C1054" s="2">
        <v>44751.186006944445</v>
      </c>
      <c r="D1054" s="2">
        <v>44751.191122685188</v>
      </c>
      <c r="E1054" s="3">
        <f t="shared" si="48"/>
        <v>44751</v>
      </c>
      <c r="F1054">
        <f t="shared" si="49"/>
        <v>7</v>
      </c>
      <c r="G1054" s="4">
        <f t="shared" si="50"/>
        <v>7.3666666704230011</v>
      </c>
      <c r="H1054">
        <f>IF(COUNTIFS(B$2:B1054,B1054,E$2:E1054,E1054)=1,1,0)</f>
        <v>0</v>
      </c>
      <c r="I1054">
        <f>IF(COUNTIFS(B$2:B1054,B1054,F$2:F1054,F1054)=1,1,0)</f>
        <v>0</v>
      </c>
    </row>
    <row r="1055" spans="1:9" x14ac:dyDescent="0.3">
      <c r="A1055">
        <v>1065</v>
      </c>
      <c r="B1055">
        <v>93</v>
      </c>
      <c r="C1055" s="2">
        <v>44751.279699074075</v>
      </c>
      <c r="D1055" s="2">
        <v>44751.282453703701</v>
      </c>
      <c r="E1055" s="3">
        <f t="shared" si="48"/>
        <v>44751</v>
      </c>
      <c r="F1055">
        <f t="shared" si="49"/>
        <v>7</v>
      </c>
      <c r="G1055" s="4">
        <f t="shared" si="50"/>
        <v>3.9666666614357382</v>
      </c>
      <c r="H1055">
        <f>IF(COUNTIFS(B$2:B1055,B1055,E$2:E1055,E1055)=1,1,0)</f>
        <v>0</v>
      </c>
      <c r="I1055">
        <f>IF(COUNTIFS(B$2:B1055,B1055,F$2:F1055,F1055)=1,1,0)</f>
        <v>0</v>
      </c>
    </row>
    <row r="1056" spans="1:9" x14ac:dyDescent="0.3">
      <c r="A1056">
        <v>1066</v>
      </c>
      <c r="B1056">
        <v>93</v>
      </c>
      <c r="C1056" s="2">
        <v>44751.413530092592</v>
      </c>
      <c r="D1056" s="2">
        <v>44751.419907407406</v>
      </c>
      <c r="E1056" s="3">
        <f t="shared" si="48"/>
        <v>44751</v>
      </c>
      <c r="F1056">
        <f t="shared" si="49"/>
        <v>7</v>
      </c>
      <c r="G1056" s="4">
        <f t="shared" si="50"/>
        <v>9.1833333321847022</v>
      </c>
      <c r="H1056">
        <f>IF(COUNTIFS(B$2:B1056,B1056,E$2:E1056,E1056)=1,1,0)</f>
        <v>0</v>
      </c>
      <c r="I1056">
        <f>IF(COUNTIFS(B$2:B1056,B1056,F$2:F1056,F1056)=1,1,0)</f>
        <v>0</v>
      </c>
    </row>
    <row r="1057" spans="1:9" x14ac:dyDescent="0.3">
      <c r="A1057">
        <v>1067</v>
      </c>
      <c r="B1057">
        <v>93</v>
      </c>
      <c r="C1057" s="2">
        <v>44751.651377314818</v>
      </c>
      <c r="D1057" s="2">
        <v>44751.653437499997</v>
      </c>
      <c r="E1057" s="3">
        <f t="shared" si="48"/>
        <v>44751</v>
      </c>
      <c r="F1057">
        <f t="shared" si="49"/>
        <v>7</v>
      </c>
      <c r="G1057" s="4">
        <f t="shared" si="50"/>
        <v>2.9666666581761092</v>
      </c>
      <c r="H1057">
        <f>IF(COUNTIFS(B$2:B1057,B1057,E$2:E1057,E1057)=1,1,0)</f>
        <v>0</v>
      </c>
      <c r="I1057">
        <f>IF(COUNTIFS(B$2:B1057,B1057,F$2:F1057,F1057)=1,1,0)</f>
        <v>0</v>
      </c>
    </row>
    <row r="1058" spans="1:9" x14ac:dyDescent="0.3">
      <c r="A1058">
        <v>1068</v>
      </c>
      <c r="B1058">
        <v>93</v>
      </c>
      <c r="C1058" s="2">
        <v>44751.775347222225</v>
      </c>
      <c r="D1058" s="2">
        <v>44751.781736111108</v>
      </c>
      <c r="E1058" s="3">
        <f t="shared" si="48"/>
        <v>44751</v>
      </c>
      <c r="F1058">
        <f t="shared" si="49"/>
        <v>7</v>
      </c>
      <c r="G1058" s="4">
        <f t="shared" si="50"/>
        <v>9.1999999922700226</v>
      </c>
      <c r="H1058">
        <f>IF(COUNTIFS(B$2:B1058,B1058,E$2:E1058,E1058)=1,1,0)</f>
        <v>0</v>
      </c>
      <c r="I1058">
        <f>IF(COUNTIFS(B$2:B1058,B1058,F$2:F1058,F1058)=1,1,0)</f>
        <v>0</v>
      </c>
    </row>
    <row r="1059" spans="1:9" x14ac:dyDescent="0.3">
      <c r="A1059">
        <v>1069</v>
      </c>
      <c r="B1059">
        <v>93</v>
      </c>
      <c r="C1059" s="2">
        <v>44751.86650462963</v>
      </c>
      <c r="D1059" s="2">
        <v>44751.870173611111</v>
      </c>
      <c r="E1059" s="3">
        <f t="shared" si="48"/>
        <v>44751</v>
      </c>
      <c r="F1059">
        <f t="shared" si="49"/>
        <v>7</v>
      </c>
      <c r="G1059" s="4">
        <f t="shared" si="50"/>
        <v>5.2833333320450038</v>
      </c>
      <c r="H1059">
        <f>IF(COUNTIFS(B$2:B1059,B1059,E$2:E1059,E1059)=1,1,0)</f>
        <v>0</v>
      </c>
      <c r="I1059">
        <f>IF(COUNTIFS(B$2:B1059,B1059,F$2:F1059,F1059)=1,1,0)</f>
        <v>0</v>
      </c>
    </row>
    <row r="1060" spans="1:9" x14ac:dyDescent="0.3">
      <c r="A1060">
        <v>1070</v>
      </c>
      <c r="B1060">
        <v>93</v>
      </c>
      <c r="C1060" s="2">
        <v>44751.998171296298</v>
      </c>
      <c r="D1060" s="2">
        <v>44752.007245370369</v>
      </c>
      <c r="E1060" s="3">
        <f t="shared" si="48"/>
        <v>44751</v>
      </c>
      <c r="F1060">
        <f t="shared" si="49"/>
        <v>7</v>
      </c>
      <c r="G1060" s="4">
        <f t="shared" si="50"/>
        <v>13.066666661761701</v>
      </c>
      <c r="H1060">
        <f>IF(COUNTIFS(B$2:B1060,B1060,E$2:E1060,E1060)=1,1,0)</f>
        <v>0</v>
      </c>
      <c r="I1060">
        <f>IF(COUNTIFS(B$2:B1060,B1060,F$2:F1060,F1060)=1,1,0)</f>
        <v>0</v>
      </c>
    </row>
    <row r="1061" spans="1:9" x14ac:dyDescent="0.3">
      <c r="A1061">
        <v>1071</v>
      </c>
      <c r="B1061">
        <v>93</v>
      </c>
      <c r="C1061" s="2">
        <v>44752.347071759257</v>
      </c>
      <c r="D1061" s="2">
        <v>44752.350949074076</v>
      </c>
      <c r="E1061" s="3">
        <f t="shared" si="48"/>
        <v>44752</v>
      </c>
      <c r="F1061">
        <f t="shared" si="49"/>
        <v>7</v>
      </c>
      <c r="G1061" s="4">
        <f t="shared" si="50"/>
        <v>5.5833333393093199</v>
      </c>
      <c r="H1061">
        <f>IF(COUNTIFS(B$2:B1061,B1061,E$2:E1061,E1061)=1,1,0)</f>
        <v>1</v>
      </c>
      <c r="I1061">
        <f>IF(COUNTIFS(B$2:B1061,B1061,F$2:F1061,F1061)=1,1,0)</f>
        <v>0</v>
      </c>
    </row>
    <row r="1062" spans="1:9" x14ac:dyDescent="0.3">
      <c r="A1062">
        <v>1072</v>
      </c>
      <c r="B1062">
        <v>93</v>
      </c>
      <c r="C1062" s="2">
        <v>44752.603055555555</v>
      </c>
      <c r="D1062" s="2">
        <v>44752.609398148146</v>
      </c>
      <c r="E1062" s="3">
        <f t="shared" si="48"/>
        <v>44752</v>
      </c>
      <c r="F1062">
        <f t="shared" si="49"/>
        <v>7</v>
      </c>
      <c r="G1062" s="4">
        <f t="shared" si="50"/>
        <v>9.1333333309739828</v>
      </c>
      <c r="H1062">
        <f>IF(COUNTIFS(B$2:B1062,B1062,E$2:E1062,E1062)=1,1,0)</f>
        <v>0</v>
      </c>
      <c r="I1062">
        <f>IF(COUNTIFS(B$2:B1062,B1062,F$2:F1062,F1062)=1,1,0)</f>
        <v>0</v>
      </c>
    </row>
    <row r="1063" spans="1:9" x14ac:dyDescent="0.3">
      <c r="A1063">
        <v>1073</v>
      </c>
      <c r="B1063">
        <v>93</v>
      </c>
      <c r="C1063" s="2">
        <v>44752.794675925928</v>
      </c>
      <c r="D1063" s="2">
        <v>44752.800266203703</v>
      </c>
      <c r="E1063" s="3">
        <f t="shared" si="48"/>
        <v>44752</v>
      </c>
      <c r="F1063">
        <f t="shared" si="49"/>
        <v>7</v>
      </c>
      <c r="G1063" s="4">
        <f t="shared" si="50"/>
        <v>8.0499999958556145</v>
      </c>
      <c r="H1063">
        <f>IF(COUNTIFS(B$2:B1063,B1063,E$2:E1063,E1063)=1,1,0)</f>
        <v>0</v>
      </c>
      <c r="I1063">
        <f>IF(COUNTIFS(B$2:B1063,B1063,F$2:F1063,F1063)=1,1,0)</f>
        <v>0</v>
      </c>
    </row>
    <row r="1064" spans="1:9" x14ac:dyDescent="0.3">
      <c r="A1064">
        <v>1074</v>
      </c>
      <c r="B1064">
        <v>93</v>
      </c>
      <c r="C1064" s="2">
        <v>44753.046354166669</v>
      </c>
      <c r="D1064" s="2">
        <v>44753.053553240738</v>
      </c>
      <c r="E1064" s="3">
        <f t="shared" si="48"/>
        <v>44753</v>
      </c>
      <c r="F1064">
        <f t="shared" si="49"/>
        <v>7</v>
      </c>
      <c r="G1064" s="4">
        <f t="shared" si="50"/>
        <v>10.36666665924713</v>
      </c>
      <c r="H1064">
        <f>IF(COUNTIFS(B$2:B1064,B1064,E$2:E1064,E1064)=1,1,0)</f>
        <v>1</v>
      </c>
      <c r="I1064">
        <f>IF(COUNTIFS(B$2:B1064,B1064,F$2:F1064,F1064)=1,1,0)</f>
        <v>0</v>
      </c>
    </row>
    <row r="1065" spans="1:9" x14ac:dyDescent="0.3">
      <c r="A1065">
        <v>1075</v>
      </c>
      <c r="B1065">
        <v>93</v>
      </c>
      <c r="C1065" s="2">
        <v>44753.130289351851</v>
      </c>
      <c r="D1065" s="2">
        <v>44753.141018518516</v>
      </c>
      <c r="E1065" s="3">
        <f t="shared" si="48"/>
        <v>44753</v>
      </c>
      <c r="F1065">
        <f t="shared" si="49"/>
        <v>7</v>
      </c>
      <c r="G1065" s="4">
        <f t="shared" si="50"/>
        <v>15.449999996926636</v>
      </c>
      <c r="H1065">
        <f>IF(COUNTIFS(B$2:B1065,B1065,E$2:E1065,E1065)=1,1,0)</f>
        <v>0</v>
      </c>
      <c r="I1065">
        <f>IF(COUNTIFS(B$2:B1065,B1065,F$2:F1065,F1065)=1,1,0)</f>
        <v>0</v>
      </c>
    </row>
    <row r="1066" spans="1:9" x14ac:dyDescent="0.3">
      <c r="A1066">
        <v>1076</v>
      </c>
      <c r="B1066">
        <v>93</v>
      </c>
      <c r="C1066" s="2">
        <v>44753.287627314814</v>
      </c>
      <c r="D1066" s="2">
        <v>44753.294537037036</v>
      </c>
      <c r="E1066" s="3">
        <f t="shared" si="48"/>
        <v>44753</v>
      </c>
      <c r="F1066">
        <f t="shared" si="49"/>
        <v>7</v>
      </c>
      <c r="G1066" s="4">
        <f t="shared" si="50"/>
        <v>9.9499999999534339</v>
      </c>
      <c r="H1066">
        <f>IF(COUNTIFS(B$2:B1066,B1066,E$2:E1066,E1066)=1,1,0)</f>
        <v>0</v>
      </c>
      <c r="I1066">
        <f>IF(COUNTIFS(B$2:B1066,B1066,F$2:F1066,F1066)=1,1,0)</f>
        <v>0</v>
      </c>
    </row>
    <row r="1067" spans="1:9" x14ac:dyDescent="0.3">
      <c r="A1067">
        <v>1077</v>
      </c>
      <c r="B1067">
        <v>93</v>
      </c>
      <c r="C1067" s="2">
        <v>44753.564293981479</v>
      </c>
      <c r="D1067" s="2">
        <v>44753.574583333335</v>
      </c>
      <c r="E1067" s="3">
        <f t="shared" si="48"/>
        <v>44753</v>
      </c>
      <c r="F1067">
        <f t="shared" si="49"/>
        <v>7</v>
      </c>
      <c r="G1067" s="4">
        <f t="shared" si="50"/>
        <v>14.816666672704741</v>
      </c>
      <c r="H1067">
        <f>IF(COUNTIFS(B$2:B1067,B1067,E$2:E1067,E1067)=1,1,0)</f>
        <v>0</v>
      </c>
      <c r="I1067">
        <f>IF(COUNTIFS(B$2:B1067,B1067,F$2:F1067,F1067)=1,1,0)</f>
        <v>0</v>
      </c>
    </row>
    <row r="1068" spans="1:9" x14ac:dyDescent="0.3">
      <c r="A1068">
        <v>1078</v>
      </c>
      <c r="B1068">
        <v>93</v>
      </c>
      <c r="C1068" s="2">
        <v>44753.710300925923</v>
      </c>
      <c r="D1068" s="2">
        <v>44753.717187499999</v>
      </c>
      <c r="E1068" s="3">
        <f t="shared" si="48"/>
        <v>44753</v>
      </c>
      <c r="F1068">
        <f t="shared" si="49"/>
        <v>7</v>
      </c>
      <c r="G1068" s="4">
        <f t="shared" si="50"/>
        <v>9.916666669305414</v>
      </c>
      <c r="H1068">
        <f>IF(COUNTIFS(B$2:B1068,B1068,E$2:E1068,E1068)=1,1,0)</f>
        <v>0</v>
      </c>
      <c r="I1068">
        <f>IF(COUNTIFS(B$2:B1068,B1068,F$2:F1068,F1068)=1,1,0)</f>
        <v>0</v>
      </c>
    </row>
    <row r="1069" spans="1:9" x14ac:dyDescent="0.3">
      <c r="A1069">
        <v>1079</v>
      </c>
      <c r="B1069">
        <v>93</v>
      </c>
      <c r="C1069" s="2">
        <v>44753.802407407406</v>
      </c>
      <c r="D1069" s="2">
        <v>44753.807326388887</v>
      </c>
      <c r="E1069" s="3">
        <f t="shared" si="48"/>
        <v>44753</v>
      </c>
      <c r="F1069">
        <f t="shared" si="49"/>
        <v>7</v>
      </c>
      <c r="G1069" s="4">
        <f t="shared" si="50"/>
        <v>7.0833333337213844</v>
      </c>
      <c r="H1069">
        <f>IF(COUNTIFS(B$2:B1069,B1069,E$2:E1069,E1069)=1,1,0)</f>
        <v>0</v>
      </c>
      <c r="I1069">
        <f>IF(COUNTIFS(B$2:B1069,B1069,F$2:F1069,F1069)=1,1,0)</f>
        <v>0</v>
      </c>
    </row>
    <row r="1070" spans="1:9" x14ac:dyDescent="0.3">
      <c r="A1070">
        <v>1080</v>
      </c>
      <c r="B1070">
        <v>93</v>
      </c>
      <c r="C1070" s="2">
        <v>44754.042233796295</v>
      </c>
      <c r="D1070" s="2">
        <v>44754.050879629627</v>
      </c>
      <c r="E1070" s="3">
        <f t="shared" si="48"/>
        <v>44754</v>
      </c>
      <c r="F1070">
        <f t="shared" si="49"/>
        <v>7</v>
      </c>
      <c r="G1070" s="4">
        <f t="shared" si="50"/>
        <v>12.449999997625127</v>
      </c>
      <c r="H1070">
        <f>IF(COUNTIFS(B$2:B1070,B1070,E$2:E1070,E1070)=1,1,0)</f>
        <v>1</v>
      </c>
      <c r="I1070">
        <f>IF(COUNTIFS(B$2:B1070,B1070,F$2:F1070,F1070)=1,1,0)</f>
        <v>0</v>
      </c>
    </row>
    <row r="1071" spans="1:9" x14ac:dyDescent="0.3">
      <c r="A1071">
        <v>1081</v>
      </c>
      <c r="B1071">
        <v>93</v>
      </c>
      <c r="C1071" s="2">
        <v>44754.204884259256</v>
      </c>
      <c r="D1071" s="2">
        <v>44754.211053240739</v>
      </c>
      <c r="E1071" s="3">
        <f t="shared" si="48"/>
        <v>44754</v>
      </c>
      <c r="F1071">
        <f t="shared" si="49"/>
        <v>7</v>
      </c>
      <c r="G1071" s="4">
        <f t="shared" si="50"/>
        <v>8.883333335397765</v>
      </c>
      <c r="H1071">
        <f>IF(COUNTIFS(B$2:B1071,B1071,E$2:E1071,E1071)=1,1,0)</f>
        <v>0</v>
      </c>
      <c r="I1071">
        <f>IF(COUNTIFS(B$2:B1071,B1071,F$2:F1071,F1071)=1,1,0)</f>
        <v>0</v>
      </c>
    </row>
    <row r="1072" spans="1:9" x14ac:dyDescent="0.3">
      <c r="A1072">
        <v>1082</v>
      </c>
      <c r="B1072">
        <v>93</v>
      </c>
      <c r="C1072" s="2">
        <v>44754.460601851853</v>
      </c>
      <c r="D1072" s="2">
        <v>44754.465416666666</v>
      </c>
      <c r="E1072" s="3">
        <f t="shared" si="48"/>
        <v>44754</v>
      </c>
      <c r="F1072">
        <f t="shared" si="49"/>
        <v>7</v>
      </c>
      <c r="G1072" s="4">
        <f t="shared" si="50"/>
        <v>6.9333333300892264</v>
      </c>
      <c r="H1072">
        <f>IF(COUNTIFS(B$2:B1072,B1072,E$2:E1072,E1072)=1,1,0)</f>
        <v>0</v>
      </c>
      <c r="I1072">
        <f>IF(COUNTIFS(B$2:B1072,B1072,F$2:F1072,F1072)=1,1,0)</f>
        <v>0</v>
      </c>
    </row>
    <row r="1073" spans="1:9" x14ac:dyDescent="0.3">
      <c r="A1073">
        <v>1083</v>
      </c>
      <c r="B1073">
        <v>93</v>
      </c>
      <c r="C1073" s="2">
        <v>44754.551354166666</v>
      </c>
      <c r="D1073" s="2">
        <v>44754.558055555557</v>
      </c>
      <c r="E1073" s="3">
        <f t="shared" si="48"/>
        <v>44754</v>
      </c>
      <c r="F1073">
        <f t="shared" si="49"/>
        <v>7</v>
      </c>
      <c r="G1073" s="4">
        <f t="shared" si="50"/>
        <v>9.6500000031664968</v>
      </c>
      <c r="H1073">
        <f>IF(COUNTIFS(B$2:B1073,B1073,E$2:E1073,E1073)=1,1,0)</f>
        <v>0</v>
      </c>
      <c r="I1073">
        <f>IF(COUNTIFS(B$2:B1073,B1073,F$2:F1073,F1073)=1,1,0)</f>
        <v>0</v>
      </c>
    </row>
    <row r="1074" spans="1:9" x14ac:dyDescent="0.3">
      <c r="A1074">
        <v>1084</v>
      </c>
      <c r="B1074">
        <v>93</v>
      </c>
      <c r="C1074" s="2">
        <v>44754.874988425923</v>
      </c>
      <c r="D1074" s="2">
        <v>44754.880937499998</v>
      </c>
      <c r="E1074" s="3">
        <f t="shared" si="48"/>
        <v>44754</v>
      </c>
      <c r="F1074">
        <f t="shared" si="49"/>
        <v>7</v>
      </c>
      <c r="G1074" s="4">
        <f t="shared" si="50"/>
        <v>8.5666666680481285</v>
      </c>
      <c r="H1074">
        <f>IF(COUNTIFS(B$2:B1074,B1074,E$2:E1074,E1074)=1,1,0)</f>
        <v>0</v>
      </c>
      <c r="I1074">
        <f>IF(COUNTIFS(B$2:B1074,B1074,F$2:F1074,F1074)=1,1,0)</f>
        <v>0</v>
      </c>
    </row>
    <row r="1075" spans="1:9" x14ac:dyDescent="0.3">
      <c r="A1075">
        <v>1085</v>
      </c>
      <c r="B1075">
        <v>93</v>
      </c>
      <c r="C1075" s="2">
        <v>44755.074363425927</v>
      </c>
      <c r="D1075" s="2">
        <v>44755.080358796295</v>
      </c>
      <c r="E1075" s="3">
        <f t="shared" si="48"/>
        <v>44755</v>
      </c>
      <c r="F1075">
        <f t="shared" si="49"/>
        <v>7</v>
      </c>
      <c r="G1075" s="4">
        <f t="shared" si="50"/>
        <v>8.6333333293441683</v>
      </c>
      <c r="H1075">
        <f>IF(COUNTIFS(B$2:B1075,B1075,E$2:E1075,E1075)=1,1,0)</f>
        <v>1</v>
      </c>
      <c r="I1075">
        <f>IF(COUNTIFS(B$2:B1075,B1075,F$2:F1075,F1075)=1,1,0)</f>
        <v>0</v>
      </c>
    </row>
    <row r="1076" spans="1:9" x14ac:dyDescent="0.3">
      <c r="A1076">
        <v>1086</v>
      </c>
      <c r="B1076">
        <v>93</v>
      </c>
      <c r="C1076" s="2">
        <v>44755.173379629632</v>
      </c>
      <c r="D1076" s="2">
        <v>44755.177465277775</v>
      </c>
      <c r="E1076" s="3">
        <f t="shared" si="48"/>
        <v>44755</v>
      </c>
      <c r="F1076">
        <f t="shared" si="49"/>
        <v>7</v>
      </c>
      <c r="G1076" s="4">
        <f t="shared" si="50"/>
        <v>5.883333325618878</v>
      </c>
      <c r="H1076">
        <f>IF(COUNTIFS(B$2:B1076,B1076,E$2:E1076,E1076)=1,1,0)</f>
        <v>0</v>
      </c>
      <c r="I1076">
        <f>IF(COUNTIFS(B$2:B1076,B1076,F$2:F1076,F1076)=1,1,0)</f>
        <v>0</v>
      </c>
    </row>
    <row r="1077" spans="1:9" x14ac:dyDescent="0.3">
      <c r="A1077">
        <v>1087</v>
      </c>
      <c r="B1077">
        <v>93</v>
      </c>
      <c r="C1077" s="2">
        <v>44755.421238425923</v>
      </c>
      <c r="D1077" s="2">
        <v>44755.427754629629</v>
      </c>
      <c r="E1077" s="3">
        <f t="shared" si="48"/>
        <v>44755</v>
      </c>
      <c r="F1077">
        <f t="shared" si="49"/>
        <v>7</v>
      </c>
      <c r="G1077" s="4">
        <f t="shared" si="50"/>
        <v>9.3833333370275795</v>
      </c>
      <c r="H1077">
        <f>IF(COUNTIFS(B$2:B1077,B1077,E$2:E1077,E1077)=1,1,0)</f>
        <v>0</v>
      </c>
      <c r="I1077">
        <f>IF(COUNTIFS(B$2:B1077,B1077,F$2:F1077,F1077)=1,1,0)</f>
        <v>0</v>
      </c>
    </row>
    <row r="1078" spans="1:9" x14ac:dyDescent="0.3">
      <c r="A1078">
        <v>1088</v>
      </c>
      <c r="B1078">
        <v>93</v>
      </c>
      <c r="C1078" s="2">
        <v>44755.698796296296</v>
      </c>
      <c r="D1078" s="2">
        <v>44755.702777777777</v>
      </c>
      <c r="E1078" s="3">
        <f t="shared" si="48"/>
        <v>44755</v>
      </c>
      <c r="F1078">
        <f t="shared" si="49"/>
        <v>7</v>
      </c>
      <c r="G1078" s="4">
        <f t="shared" si="50"/>
        <v>5.7333333324640989</v>
      </c>
      <c r="H1078">
        <f>IF(COUNTIFS(B$2:B1078,B1078,E$2:E1078,E1078)=1,1,0)</f>
        <v>0</v>
      </c>
      <c r="I1078">
        <f>IF(COUNTIFS(B$2:B1078,B1078,F$2:F1078,F1078)=1,1,0)</f>
        <v>0</v>
      </c>
    </row>
    <row r="1079" spans="1:9" x14ac:dyDescent="0.3">
      <c r="A1079">
        <v>1089</v>
      </c>
      <c r="B1079">
        <v>93</v>
      </c>
      <c r="C1079" s="2">
        <v>44755.871377314812</v>
      </c>
      <c r="D1079" s="2">
        <v>44755.879467592589</v>
      </c>
      <c r="E1079" s="3">
        <f t="shared" si="48"/>
        <v>44755</v>
      </c>
      <c r="F1079">
        <f t="shared" si="49"/>
        <v>7</v>
      </c>
      <c r="G1079" s="4">
        <f t="shared" si="50"/>
        <v>11.649999999208376</v>
      </c>
      <c r="H1079">
        <f>IF(COUNTIFS(B$2:B1079,B1079,E$2:E1079,E1079)=1,1,0)</f>
        <v>0</v>
      </c>
      <c r="I1079">
        <f>IF(COUNTIFS(B$2:B1079,B1079,F$2:F1079,F1079)=1,1,0)</f>
        <v>0</v>
      </c>
    </row>
    <row r="1080" spans="1:9" x14ac:dyDescent="0.3">
      <c r="A1080">
        <v>1090</v>
      </c>
      <c r="B1080">
        <v>94</v>
      </c>
      <c r="C1080" s="2">
        <v>44611.861076388886</v>
      </c>
      <c r="D1080" s="2">
        <v>44611.864166666666</v>
      </c>
      <c r="E1080" s="3">
        <f t="shared" si="48"/>
        <v>44611</v>
      </c>
      <c r="F1080">
        <f t="shared" si="49"/>
        <v>2</v>
      </c>
      <c r="G1080" s="4">
        <f t="shared" si="50"/>
        <v>4.4500000029802322</v>
      </c>
      <c r="H1080">
        <f>IF(COUNTIFS(B$2:B1080,B1080,E$2:E1080,E1080)=1,1,0)</f>
        <v>1</v>
      </c>
      <c r="I1080">
        <f>IF(COUNTIFS(B$2:B1080,B1080,F$2:F1080,F1080)=1,1,0)</f>
        <v>1</v>
      </c>
    </row>
    <row r="1081" spans="1:9" x14ac:dyDescent="0.3">
      <c r="A1081">
        <v>1091</v>
      </c>
      <c r="B1081">
        <v>94</v>
      </c>
      <c r="C1081" s="2">
        <v>44612.052719907406</v>
      </c>
      <c r="D1081" s="2">
        <v>44612.057662037034</v>
      </c>
      <c r="E1081" s="3">
        <f t="shared" si="48"/>
        <v>44612</v>
      </c>
      <c r="F1081">
        <f t="shared" si="49"/>
        <v>2</v>
      </c>
      <c r="G1081" s="4">
        <f t="shared" si="50"/>
        <v>7.1166666643694043</v>
      </c>
      <c r="H1081">
        <f>IF(COUNTIFS(B$2:B1081,B1081,E$2:E1081,E1081)=1,1,0)</f>
        <v>1</v>
      </c>
      <c r="I1081">
        <f>IF(COUNTIFS(B$2:B1081,B1081,F$2:F1081,F1081)=1,1,0)</f>
        <v>0</v>
      </c>
    </row>
    <row r="1082" spans="1:9" x14ac:dyDescent="0.3">
      <c r="A1082">
        <v>1092</v>
      </c>
      <c r="B1082">
        <v>95</v>
      </c>
      <c r="C1082" s="2">
        <v>44737.139201388891</v>
      </c>
      <c r="D1082" s="2">
        <v>44737.148460648146</v>
      </c>
      <c r="E1082" s="3">
        <f t="shared" si="48"/>
        <v>44737</v>
      </c>
      <c r="F1082">
        <f t="shared" si="49"/>
        <v>6</v>
      </c>
      <c r="G1082" s="4">
        <f t="shared" si="50"/>
        <v>13.333333327900618</v>
      </c>
      <c r="H1082">
        <f>IF(COUNTIFS(B$2:B1082,B1082,E$2:E1082,E1082)=1,1,0)</f>
        <v>1</v>
      </c>
      <c r="I1082">
        <f>IF(COUNTIFS(B$2:B1082,B1082,F$2:F1082,F1082)=1,1,0)</f>
        <v>1</v>
      </c>
    </row>
    <row r="1083" spans="1:9" x14ac:dyDescent="0.3">
      <c r="A1083">
        <v>1093</v>
      </c>
      <c r="B1083">
        <v>95</v>
      </c>
      <c r="C1083" s="2">
        <v>44737.405358796299</v>
      </c>
      <c r="D1083" s="2">
        <v>44737.412673611114</v>
      </c>
      <c r="E1083" s="3">
        <f t="shared" si="48"/>
        <v>44737</v>
      </c>
      <c r="F1083">
        <f t="shared" si="49"/>
        <v>6</v>
      </c>
      <c r="G1083" s="4">
        <f t="shared" si="50"/>
        <v>10.533333333441988</v>
      </c>
      <c r="H1083">
        <f>IF(COUNTIFS(B$2:B1083,B1083,E$2:E1083,E1083)=1,1,0)</f>
        <v>0</v>
      </c>
      <c r="I1083">
        <f>IF(COUNTIFS(B$2:B1083,B1083,F$2:F1083,F1083)=1,1,0)</f>
        <v>0</v>
      </c>
    </row>
    <row r="1084" spans="1:9" x14ac:dyDescent="0.3">
      <c r="A1084">
        <v>1094</v>
      </c>
      <c r="B1084">
        <v>95</v>
      </c>
      <c r="C1084" s="2">
        <v>44737.690208333333</v>
      </c>
      <c r="D1084" s="2">
        <v>44737.69703703704</v>
      </c>
      <c r="E1084" s="3">
        <f t="shared" si="48"/>
        <v>44737</v>
      </c>
      <c r="F1084">
        <f t="shared" si="49"/>
        <v>6</v>
      </c>
      <c r="G1084" s="4">
        <f t="shared" si="50"/>
        <v>9.8333333374466747</v>
      </c>
      <c r="H1084">
        <f>IF(COUNTIFS(B$2:B1084,B1084,E$2:E1084,E1084)=1,1,0)</f>
        <v>0</v>
      </c>
      <c r="I1084">
        <f>IF(COUNTIFS(B$2:B1084,B1084,F$2:F1084,F1084)=1,1,0)</f>
        <v>0</v>
      </c>
    </row>
    <row r="1085" spans="1:9" x14ac:dyDescent="0.3">
      <c r="A1085">
        <v>1095</v>
      </c>
      <c r="B1085">
        <v>95</v>
      </c>
      <c r="C1085" s="2">
        <v>44738.027928240743</v>
      </c>
      <c r="D1085" s="2">
        <v>44738.030671296299</v>
      </c>
      <c r="E1085" s="3">
        <f t="shared" si="48"/>
        <v>44738</v>
      </c>
      <c r="F1085">
        <f t="shared" si="49"/>
        <v>6</v>
      </c>
      <c r="G1085" s="4">
        <f t="shared" si="50"/>
        <v>3.9500000013504177</v>
      </c>
      <c r="H1085">
        <f>IF(COUNTIFS(B$2:B1085,B1085,E$2:E1085,E1085)=1,1,0)</f>
        <v>1</v>
      </c>
      <c r="I1085">
        <f>IF(COUNTIFS(B$2:B1085,B1085,F$2:F1085,F1085)=1,1,0)</f>
        <v>0</v>
      </c>
    </row>
    <row r="1086" spans="1:9" x14ac:dyDescent="0.3">
      <c r="A1086">
        <v>1096</v>
      </c>
      <c r="B1086">
        <v>95</v>
      </c>
      <c r="C1086" s="2">
        <v>44738.213761574072</v>
      </c>
      <c r="D1086" s="2">
        <v>44738.219548611109</v>
      </c>
      <c r="E1086" s="3">
        <f t="shared" si="48"/>
        <v>44738</v>
      </c>
      <c r="F1086">
        <f t="shared" si="49"/>
        <v>6</v>
      </c>
      <c r="G1086" s="4">
        <f t="shared" si="50"/>
        <v>8.3333333325572312</v>
      </c>
      <c r="H1086">
        <f>IF(COUNTIFS(B$2:B1086,B1086,E$2:E1086,E1086)=1,1,0)</f>
        <v>0</v>
      </c>
      <c r="I1086">
        <f>IF(COUNTIFS(B$2:B1086,B1086,F$2:F1086,F1086)=1,1,0)</f>
        <v>0</v>
      </c>
    </row>
    <row r="1087" spans="1:9" x14ac:dyDescent="0.3">
      <c r="A1087">
        <v>1097</v>
      </c>
      <c r="B1087">
        <v>95</v>
      </c>
      <c r="C1087" s="2">
        <v>44738.443622685183</v>
      </c>
      <c r="D1087" s="2">
        <v>44738.450601851851</v>
      </c>
      <c r="E1087" s="3">
        <f t="shared" si="48"/>
        <v>44738</v>
      </c>
      <c r="F1087">
        <f t="shared" si="49"/>
        <v>6</v>
      </c>
      <c r="G1087" s="4">
        <f t="shared" si="50"/>
        <v>10.050000002374873</v>
      </c>
      <c r="H1087">
        <f>IF(COUNTIFS(B$2:B1087,B1087,E$2:E1087,E1087)=1,1,0)</f>
        <v>0</v>
      </c>
      <c r="I1087">
        <f>IF(COUNTIFS(B$2:B1087,B1087,F$2:F1087,F1087)=1,1,0)</f>
        <v>0</v>
      </c>
    </row>
    <row r="1088" spans="1:9" x14ac:dyDescent="0.3">
      <c r="A1088">
        <v>1098</v>
      </c>
      <c r="B1088">
        <v>95</v>
      </c>
      <c r="C1088" s="2">
        <v>44738.682997685188</v>
      </c>
      <c r="D1088" s="2">
        <v>44738.693541666667</v>
      </c>
      <c r="E1088" s="3">
        <f t="shared" si="48"/>
        <v>44738</v>
      </c>
      <c r="F1088">
        <f t="shared" si="49"/>
        <v>6</v>
      </c>
      <c r="G1088" s="4">
        <f t="shared" si="50"/>
        <v>15.183333330787718</v>
      </c>
      <c r="H1088">
        <f>IF(COUNTIFS(B$2:B1088,B1088,E$2:E1088,E1088)=1,1,0)</f>
        <v>0</v>
      </c>
      <c r="I1088">
        <f>IF(COUNTIFS(B$2:B1088,B1088,F$2:F1088,F1088)=1,1,0)</f>
        <v>0</v>
      </c>
    </row>
    <row r="1089" spans="1:9" x14ac:dyDescent="0.3">
      <c r="A1089">
        <v>1099</v>
      </c>
      <c r="B1089">
        <v>95</v>
      </c>
      <c r="C1089" s="2">
        <v>44738.978402777779</v>
      </c>
      <c r="D1089" s="2">
        <v>44738.98877314815</v>
      </c>
      <c r="E1089" s="3">
        <f t="shared" si="48"/>
        <v>44738</v>
      </c>
      <c r="F1089">
        <f t="shared" si="49"/>
        <v>6</v>
      </c>
      <c r="G1089" s="4">
        <f t="shared" si="50"/>
        <v>14.933333335211501</v>
      </c>
      <c r="H1089">
        <f>IF(COUNTIFS(B$2:B1089,B1089,E$2:E1089,E1089)=1,1,0)</f>
        <v>0</v>
      </c>
      <c r="I1089">
        <f>IF(COUNTIFS(B$2:B1089,B1089,F$2:F1089,F1089)=1,1,0)</f>
        <v>0</v>
      </c>
    </row>
    <row r="1090" spans="1:9" x14ac:dyDescent="0.3">
      <c r="A1090">
        <v>1100</v>
      </c>
      <c r="B1090">
        <v>95</v>
      </c>
      <c r="C1090" s="2">
        <v>44739.274791666663</v>
      </c>
      <c r="D1090" s="2">
        <v>44739.28297453704</v>
      </c>
      <c r="E1090" s="3">
        <f t="shared" ref="E1090:E1153" si="51">INT(C1090)</f>
        <v>44739</v>
      </c>
      <c r="F1090">
        <f t="shared" ref="F1090:F1153" si="52">MONTH(C1090)</f>
        <v>6</v>
      </c>
      <c r="G1090" s="4">
        <f t="shared" ref="G1090:G1153" si="53">(D1090-C1090)*1440</f>
        <v>11.783333342755213</v>
      </c>
      <c r="H1090">
        <f>IF(COUNTIFS(B$2:B1090,B1090,E$2:E1090,E1090)=1,1,0)</f>
        <v>1</v>
      </c>
      <c r="I1090">
        <f>IF(COUNTIFS(B$2:B1090,B1090,F$2:F1090,F1090)=1,1,0)</f>
        <v>0</v>
      </c>
    </row>
    <row r="1091" spans="1:9" x14ac:dyDescent="0.3">
      <c r="A1091">
        <v>1101</v>
      </c>
      <c r="B1091">
        <v>95</v>
      </c>
      <c r="C1091" s="2">
        <v>44739.356168981481</v>
      </c>
      <c r="D1091" s="2">
        <v>44739.361006944448</v>
      </c>
      <c r="E1091" s="3">
        <f t="shared" si="51"/>
        <v>44739</v>
      </c>
      <c r="F1091">
        <f t="shared" si="52"/>
        <v>6</v>
      </c>
      <c r="G1091" s="4">
        <f t="shared" si="53"/>
        <v>6.9666666712146252</v>
      </c>
      <c r="H1091">
        <f>IF(COUNTIFS(B$2:B1091,B1091,E$2:E1091,E1091)=1,1,0)</f>
        <v>0</v>
      </c>
      <c r="I1091">
        <f>IF(COUNTIFS(B$2:B1091,B1091,F$2:F1091,F1091)=1,1,0)</f>
        <v>0</v>
      </c>
    </row>
    <row r="1092" spans="1:9" x14ac:dyDescent="0.3">
      <c r="A1092">
        <v>1102</v>
      </c>
      <c r="B1092">
        <v>95</v>
      </c>
      <c r="C1092" s="2">
        <v>44739.440324074072</v>
      </c>
      <c r="D1092" s="2">
        <v>44739.443101851852</v>
      </c>
      <c r="E1092" s="3">
        <f t="shared" si="51"/>
        <v>44739</v>
      </c>
      <c r="F1092">
        <f t="shared" si="52"/>
        <v>6</v>
      </c>
      <c r="G1092" s="4">
        <f t="shared" si="53"/>
        <v>4.0000000025611371</v>
      </c>
      <c r="H1092">
        <f>IF(COUNTIFS(B$2:B1092,B1092,E$2:E1092,E1092)=1,1,0)</f>
        <v>0</v>
      </c>
      <c r="I1092">
        <f>IF(COUNTIFS(B$2:B1092,B1092,F$2:F1092,F1092)=1,1,0)</f>
        <v>0</v>
      </c>
    </row>
    <row r="1093" spans="1:9" x14ac:dyDescent="0.3">
      <c r="A1093">
        <v>1103</v>
      </c>
      <c r="B1093">
        <v>95</v>
      </c>
      <c r="C1093" s="2">
        <v>44739.514178240737</v>
      </c>
      <c r="D1093" s="2">
        <v>44739.519652777781</v>
      </c>
      <c r="E1093" s="3">
        <f t="shared" si="51"/>
        <v>44739</v>
      </c>
      <c r="F1093">
        <f t="shared" si="52"/>
        <v>6</v>
      </c>
      <c r="G1093" s="4">
        <f t="shared" si="53"/>
        <v>7.883333342615515</v>
      </c>
      <c r="H1093">
        <f>IF(COUNTIFS(B$2:B1093,B1093,E$2:E1093,E1093)=1,1,0)</f>
        <v>0</v>
      </c>
      <c r="I1093">
        <f>IF(COUNTIFS(B$2:B1093,B1093,F$2:F1093,F1093)=1,1,0)</f>
        <v>0</v>
      </c>
    </row>
    <row r="1094" spans="1:9" x14ac:dyDescent="0.3">
      <c r="A1094">
        <v>1104</v>
      </c>
      <c r="B1094">
        <v>95</v>
      </c>
      <c r="C1094" s="2">
        <v>44739.571516203701</v>
      </c>
      <c r="D1094" s="2">
        <v>44739.57744212963</v>
      </c>
      <c r="E1094" s="3">
        <f t="shared" si="51"/>
        <v>44739</v>
      </c>
      <c r="F1094">
        <f t="shared" si="52"/>
        <v>6</v>
      </c>
      <c r="G1094" s="4">
        <f t="shared" si="53"/>
        <v>8.5333333374001086</v>
      </c>
      <c r="H1094">
        <f>IF(COUNTIFS(B$2:B1094,B1094,E$2:E1094,E1094)=1,1,0)</f>
        <v>0</v>
      </c>
      <c r="I1094">
        <f>IF(COUNTIFS(B$2:B1094,B1094,F$2:F1094,F1094)=1,1,0)</f>
        <v>0</v>
      </c>
    </row>
    <row r="1095" spans="1:9" x14ac:dyDescent="0.3">
      <c r="A1095">
        <v>1105</v>
      </c>
      <c r="B1095">
        <v>95</v>
      </c>
      <c r="C1095" s="2">
        <v>44739.876354166663</v>
      </c>
      <c r="D1095" s="2">
        <v>44739.884236111109</v>
      </c>
      <c r="E1095" s="3">
        <f t="shared" si="51"/>
        <v>44739</v>
      </c>
      <c r="F1095">
        <f t="shared" si="52"/>
        <v>6</v>
      </c>
      <c r="G1095" s="4">
        <f t="shared" si="53"/>
        <v>11.350000002421439</v>
      </c>
      <c r="H1095">
        <f>IF(COUNTIFS(B$2:B1095,B1095,E$2:E1095,E1095)=1,1,0)</f>
        <v>0</v>
      </c>
      <c r="I1095">
        <f>IF(COUNTIFS(B$2:B1095,B1095,F$2:F1095,F1095)=1,1,0)</f>
        <v>0</v>
      </c>
    </row>
    <row r="1096" spans="1:9" x14ac:dyDescent="0.3">
      <c r="A1096">
        <v>1106</v>
      </c>
      <c r="B1096">
        <v>95</v>
      </c>
      <c r="C1096" s="2">
        <v>44740.207233796296</v>
      </c>
      <c r="D1096" s="2">
        <v>44740.212638888886</v>
      </c>
      <c r="E1096" s="3">
        <f t="shared" si="51"/>
        <v>44740</v>
      </c>
      <c r="F1096">
        <f t="shared" si="52"/>
        <v>6</v>
      </c>
      <c r="G1096" s="4">
        <f t="shared" si="53"/>
        <v>7.7833333297166973</v>
      </c>
      <c r="H1096">
        <f>IF(COUNTIFS(B$2:B1096,B1096,E$2:E1096,E1096)=1,1,0)</f>
        <v>1</v>
      </c>
      <c r="I1096">
        <f>IF(COUNTIFS(B$2:B1096,B1096,F$2:F1096,F1096)=1,1,0)</f>
        <v>0</v>
      </c>
    </row>
    <row r="1097" spans="1:9" x14ac:dyDescent="0.3">
      <c r="A1097">
        <v>1107</v>
      </c>
      <c r="B1097">
        <v>95</v>
      </c>
      <c r="C1097" s="2">
        <v>44740.319247685184</v>
      </c>
      <c r="D1097" s="2">
        <v>44740.325636574074</v>
      </c>
      <c r="E1097" s="3">
        <f t="shared" si="51"/>
        <v>44740</v>
      </c>
      <c r="F1097">
        <f t="shared" si="52"/>
        <v>6</v>
      </c>
      <c r="G1097" s="4">
        <f t="shared" si="53"/>
        <v>9.2000000027474016</v>
      </c>
      <c r="H1097">
        <f>IF(COUNTIFS(B$2:B1097,B1097,E$2:E1097,E1097)=1,1,0)</f>
        <v>0</v>
      </c>
      <c r="I1097">
        <f>IF(COUNTIFS(B$2:B1097,B1097,F$2:F1097,F1097)=1,1,0)</f>
        <v>0</v>
      </c>
    </row>
    <row r="1098" spans="1:9" x14ac:dyDescent="0.3">
      <c r="A1098">
        <v>1108</v>
      </c>
      <c r="B1098">
        <v>95</v>
      </c>
      <c r="C1098" s="2">
        <v>44740.542662037034</v>
      </c>
      <c r="D1098" s="2">
        <v>44740.550659722219</v>
      </c>
      <c r="E1098" s="3">
        <f t="shared" si="51"/>
        <v>44740</v>
      </c>
      <c r="F1098">
        <f t="shared" si="52"/>
        <v>6</v>
      </c>
      <c r="G1098" s="4">
        <f t="shared" si="53"/>
        <v>11.516666666138917</v>
      </c>
      <c r="H1098">
        <f>IF(COUNTIFS(B$2:B1098,B1098,E$2:E1098,E1098)=1,1,0)</f>
        <v>0</v>
      </c>
      <c r="I1098">
        <f>IF(COUNTIFS(B$2:B1098,B1098,F$2:F1098,F1098)=1,1,0)</f>
        <v>0</v>
      </c>
    </row>
    <row r="1099" spans="1:9" x14ac:dyDescent="0.3">
      <c r="A1099">
        <v>1109</v>
      </c>
      <c r="B1099">
        <v>95</v>
      </c>
      <c r="C1099" s="2">
        <v>44740.642581018517</v>
      </c>
      <c r="D1099" s="2">
        <v>44740.650057870371</v>
      </c>
      <c r="E1099" s="3">
        <f t="shared" si="51"/>
        <v>44740</v>
      </c>
      <c r="F1099">
        <f t="shared" si="52"/>
        <v>6</v>
      </c>
      <c r="G1099" s="4">
        <f t="shared" si="53"/>
        <v>10.766666668932885</v>
      </c>
      <c r="H1099">
        <f>IF(COUNTIFS(B$2:B1099,B1099,E$2:E1099,E1099)=1,1,0)</f>
        <v>0</v>
      </c>
      <c r="I1099">
        <f>IF(COUNTIFS(B$2:B1099,B1099,F$2:F1099,F1099)=1,1,0)</f>
        <v>0</v>
      </c>
    </row>
    <row r="1100" spans="1:9" x14ac:dyDescent="0.3">
      <c r="A1100">
        <v>1110</v>
      </c>
      <c r="B1100">
        <v>96</v>
      </c>
      <c r="C1100" s="2">
        <v>44759.602361111109</v>
      </c>
      <c r="D1100" s="2">
        <v>44759.608981481484</v>
      </c>
      <c r="E1100" s="3">
        <f t="shared" si="51"/>
        <v>44759</v>
      </c>
      <c r="F1100">
        <f t="shared" si="52"/>
        <v>7</v>
      </c>
      <c r="G1100" s="4">
        <f t="shared" si="53"/>
        <v>9.5333333406597376</v>
      </c>
      <c r="H1100">
        <f>IF(COUNTIFS(B$2:B1100,B1100,E$2:E1100,E1100)=1,1,0)</f>
        <v>1</v>
      </c>
      <c r="I1100">
        <f>IF(COUNTIFS(B$2:B1100,B1100,F$2:F1100,F1100)=1,1,0)</f>
        <v>1</v>
      </c>
    </row>
    <row r="1101" spans="1:9" x14ac:dyDescent="0.3">
      <c r="A1101">
        <v>1111</v>
      </c>
      <c r="B1101">
        <v>96</v>
      </c>
      <c r="C1101" s="2">
        <v>44759.670706018522</v>
      </c>
      <c r="D1101" s="2">
        <v>44759.677268518521</v>
      </c>
      <c r="E1101" s="3">
        <f t="shared" si="51"/>
        <v>44759</v>
      </c>
      <c r="F1101">
        <f t="shared" si="52"/>
        <v>7</v>
      </c>
      <c r="G1101" s="4">
        <f t="shared" si="53"/>
        <v>9.4499999983236194</v>
      </c>
      <c r="H1101">
        <f>IF(COUNTIFS(B$2:B1101,B1101,E$2:E1101,E1101)=1,1,0)</f>
        <v>0</v>
      </c>
      <c r="I1101">
        <f>IF(COUNTIFS(B$2:B1101,B1101,F$2:F1101,F1101)=1,1,0)</f>
        <v>0</v>
      </c>
    </row>
    <row r="1102" spans="1:9" x14ac:dyDescent="0.3">
      <c r="A1102">
        <v>1112</v>
      </c>
      <c r="B1102">
        <v>96</v>
      </c>
      <c r="C1102" s="2">
        <v>44759.924733796295</v>
      </c>
      <c r="D1102" s="2">
        <v>44759.930127314816</v>
      </c>
      <c r="E1102" s="3">
        <f t="shared" si="51"/>
        <v>44759</v>
      </c>
      <c r="F1102">
        <f t="shared" si="52"/>
        <v>7</v>
      </c>
      <c r="G1102" s="4">
        <f t="shared" si="53"/>
        <v>7.7666666696313769</v>
      </c>
      <c r="H1102">
        <f>IF(COUNTIFS(B$2:B1102,B1102,E$2:E1102,E1102)=1,1,0)</f>
        <v>0</v>
      </c>
      <c r="I1102">
        <f>IF(COUNTIFS(B$2:B1102,B1102,F$2:F1102,F1102)=1,1,0)</f>
        <v>0</v>
      </c>
    </row>
    <row r="1103" spans="1:9" x14ac:dyDescent="0.3">
      <c r="A1103">
        <v>1113</v>
      </c>
      <c r="B1103">
        <v>96</v>
      </c>
      <c r="C1103" s="2">
        <v>44760.032025462962</v>
      </c>
      <c r="D1103" s="2">
        <v>44760.037407407406</v>
      </c>
      <c r="E1103" s="3">
        <f t="shared" si="51"/>
        <v>44760</v>
      </c>
      <c r="F1103">
        <f t="shared" si="52"/>
        <v>7</v>
      </c>
      <c r="G1103" s="4">
        <f t="shared" si="53"/>
        <v>7.7499999990686774</v>
      </c>
      <c r="H1103">
        <f>IF(COUNTIFS(B$2:B1103,B1103,E$2:E1103,E1103)=1,1,0)</f>
        <v>1</v>
      </c>
      <c r="I1103">
        <f>IF(COUNTIFS(B$2:B1103,B1103,F$2:F1103,F1103)=1,1,0)</f>
        <v>0</v>
      </c>
    </row>
    <row r="1104" spans="1:9" x14ac:dyDescent="0.3">
      <c r="A1104">
        <v>1114</v>
      </c>
      <c r="B1104">
        <v>96</v>
      </c>
      <c r="C1104" s="2">
        <v>44760.148356481484</v>
      </c>
      <c r="D1104" s="2">
        <v>44760.154074074075</v>
      </c>
      <c r="E1104" s="3">
        <f t="shared" si="51"/>
        <v>44760</v>
      </c>
      <c r="F1104">
        <f t="shared" si="52"/>
        <v>7</v>
      </c>
      <c r="G1104" s="4">
        <f t="shared" si="53"/>
        <v>8.2333333301357925</v>
      </c>
      <c r="H1104">
        <f>IF(COUNTIFS(B$2:B1104,B1104,E$2:E1104,E1104)=1,1,0)</f>
        <v>0</v>
      </c>
      <c r="I1104">
        <f>IF(COUNTIFS(B$2:B1104,B1104,F$2:F1104,F1104)=1,1,0)</f>
        <v>0</v>
      </c>
    </row>
    <row r="1105" spans="1:9" x14ac:dyDescent="0.3">
      <c r="A1105">
        <v>1115</v>
      </c>
      <c r="B1105">
        <v>96</v>
      </c>
      <c r="C1105" s="2">
        <v>44760.283900462964</v>
      </c>
      <c r="D1105" s="2">
        <v>44760.292430555557</v>
      </c>
      <c r="E1105" s="3">
        <f t="shared" si="51"/>
        <v>44760</v>
      </c>
      <c r="F1105">
        <f t="shared" si="52"/>
        <v>7</v>
      </c>
      <c r="G1105" s="4">
        <f t="shared" si="53"/>
        <v>12.283333333907649</v>
      </c>
      <c r="H1105">
        <f>IF(COUNTIFS(B$2:B1105,B1105,E$2:E1105,E1105)=1,1,0)</f>
        <v>0</v>
      </c>
      <c r="I1105">
        <f>IF(COUNTIFS(B$2:B1105,B1105,F$2:F1105,F1105)=1,1,0)</f>
        <v>0</v>
      </c>
    </row>
    <row r="1106" spans="1:9" x14ac:dyDescent="0.3">
      <c r="A1106">
        <v>1116</v>
      </c>
      <c r="B1106">
        <v>96</v>
      </c>
      <c r="C1106" s="2">
        <v>44760.526180555556</v>
      </c>
      <c r="D1106" s="2">
        <v>44760.533888888887</v>
      </c>
      <c r="E1106" s="3">
        <f t="shared" si="51"/>
        <v>44760</v>
      </c>
      <c r="F1106">
        <f t="shared" si="52"/>
        <v>7</v>
      </c>
      <c r="G1106" s="4">
        <f t="shared" si="53"/>
        <v>11.099999996367842</v>
      </c>
      <c r="H1106">
        <f>IF(COUNTIFS(B$2:B1106,B1106,E$2:E1106,E1106)=1,1,0)</f>
        <v>0</v>
      </c>
      <c r="I1106">
        <f>IF(COUNTIFS(B$2:B1106,B1106,F$2:F1106,F1106)=1,1,0)</f>
        <v>0</v>
      </c>
    </row>
    <row r="1107" spans="1:9" x14ac:dyDescent="0.3">
      <c r="A1107">
        <v>1117</v>
      </c>
      <c r="B1107">
        <v>96</v>
      </c>
      <c r="C1107" s="2">
        <v>44760.756550925929</v>
      </c>
      <c r="D1107" s="2">
        <v>44760.765844907408</v>
      </c>
      <c r="E1107" s="3">
        <f t="shared" si="51"/>
        <v>44760</v>
      </c>
      <c r="F1107">
        <f t="shared" si="52"/>
        <v>7</v>
      </c>
      <c r="G1107" s="4">
        <f t="shared" si="53"/>
        <v>13.383333329111338</v>
      </c>
      <c r="H1107">
        <f>IF(COUNTIFS(B$2:B1107,B1107,E$2:E1107,E1107)=1,1,0)</f>
        <v>0</v>
      </c>
      <c r="I1107">
        <f>IF(COUNTIFS(B$2:B1107,B1107,F$2:F1107,F1107)=1,1,0)</f>
        <v>0</v>
      </c>
    </row>
    <row r="1108" spans="1:9" x14ac:dyDescent="0.3">
      <c r="A1108">
        <v>1118</v>
      </c>
      <c r="B1108">
        <v>96</v>
      </c>
      <c r="C1108" s="2">
        <v>44760.929039351853</v>
      </c>
      <c r="D1108" s="2">
        <v>44760.937511574077</v>
      </c>
      <c r="E1108" s="3">
        <f t="shared" si="51"/>
        <v>44760</v>
      </c>
      <c r="F1108">
        <f t="shared" si="52"/>
        <v>7</v>
      </c>
      <c r="G1108" s="4">
        <f t="shared" si="53"/>
        <v>12.20000000204891</v>
      </c>
      <c r="H1108">
        <f>IF(COUNTIFS(B$2:B1108,B1108,E$2:E1108,E1108)=1,1,0)</f>
        <v>0</v>
      </c>
      <c r="I1108">
        <f>IF(COUNTIFS(B$2:B1108,B1108,F$2:F1108,F1108)=1,1,0)</f>
        <v>0</v>
      </c>
    </row>
    <row r="1109" spans="1:9" x14ac:dyDescent="0.3">
      <c r="A1109">
        <v>1119</v>
      </c>
      <c r="B1109">
        <v>96</v>
      </c>
      <c r="C1109" s="2">
        <v>44761.011296296296</v>
      </c>
      <c r="D1109" s="2">
        <v>44761.018935185188</v>
      </c>
      <c r="E1109" s="3">
        <f t="shared" si="51"/>
        <v>44761</v>
      </c>
      <c r="F1109">
        <f t="shared" si="52"/>
        <v>7</v>
      </c>
      <c r="G1109" s="4">
        <f t="shared" si="53"/>
        <v>11.000000004423782</v>
      </c>
      <c r="H1109">
        <f>IF(COUNTIFS(B$2:B1109,B1109,E$2:E1109,E1109)=1,1,0)</f>
        <v>1</v>
      </c>
      <c r="I1109">
        <f>IF(COUNTIFS(B$2:B1109,B1109,F$2:F1109,F1109)=1,1,0)</f>
        <v>0</v>
      </c>
    </row>
    <row r="1110" spans="1:9" x14ac:dyDescent="0.3">
      <c r="A1110">
        <v>1120</v>
      </c>
      <c r="B1110">
        <v>96</v>
      </c>
      <c r="C1110" s="2">
        <v>44761.132951388892</v>
      </c>
      <c r="D1110" s="2">
        <v>44761.140127314815</v>
      </c>
      <c r="E1110" s="3">
        <f t="shared" si="51"/>
        <v>44761</v>
      </c>
      <c r="F1110">
        <f t="shared" si="52"/>
        <v>7</v>
      </c>
      <c r="G1110" s="4">
        <f t="shared" si="53"/>
        <v>10.33333332859911</v>
      </c>
      <c r="H1110">
        <f>IF(COUNTIFS(B$2:B1110,B1110,E$2:E1110,E1110)=1,1,0)</f>
        <v>0</v>
      </c>
      <c r="I1110">
        <f>IF(COUNTIFS(B$2:B1110,B1110,F$2:F1110,F1110)=1,1,0)</f>
        <v>0</v>
      </c>
    </row>
    <row r="1111" spans="1:9" x14ac:dyDescent="0.3">
      <c r="A1111">
        <v>1121</v>
      </c>
      <c r="B1111">
        <v>96</v>
      </c>
      <c r="C1111" s="2">
        <v>44761.311631944445</v>
      </c>
      <c r="D1111" s="2">
        <v>44761.314884259256</v>
      </c>
      <c r="E1111" s="3">
        <f t="shared" si="51"/>
        <v>44761</v>
      </c>
      <c r="F1111">
        <f t="shared" si="52"/>
        <v>7</v>
      </c>
      <c r="G1111" s="4">
        <f t="shared" si="53"/>
        <v>4.6833333279937506</v>
      </c>
      <c r="H1111">
        <f>IF(COUNTIFS(B$2:B1111,B1111,E$2:E1111,E1111)=1,1,0)</f>
        <v>0</v>
      </c>
      <c r="I1111">
        <f>IF(COUNTIFS(B$2:B1111,B1111,F$2:F1111,F1111)=1,1,0)</f>
        <v>0</v>
      </c>
    </row>
    <row r="1112" spans="1:9" x14ac:dyDescent="0.3">
      <c r="A1112">
        <v>1122</v>
      </c>
      <c r="B1112">
        <v>96</v>
      </c>
      <c r="C1112" s="2">
        <v>44761.390509259261</v>
      </c>
      <c r="D1112" s="2">
        <v>44761.392962962964</v>
      </c>
      <c r="E1112" s="3">
        <f t="shared" si="51"/>
        <v>44761</v>
      </c>
      <c r="F1112">
        <f t="shared" si="52"/>
        <v>7</v>
      </c>
      <c r="G1112" s="4">
        <f t="shared" si="53"/>
        <v>3.5333333315793425</v>
      </c>
      <c r="H1112">
        <f>IF(COUNTIFS(B$2:B1112,B1112,E$2:E1112,E1112)=1,1,0)</f>
        <v>0</v>
      </c>
      <c r="I1112">
        <f>IF(COUNTIFS(B$2:B1112,B1112,F$2:F1112,F1112)=1,1,0)</f>
        <v>0</v>
      </c>
    </row>
    <row r="1113" spans="1:9" x14ac:dyDescent="0.3">
      <c r="A1113">
        <v>1123</v>
      </c>
      <c r="B1113">
        <v>96</v>
      </c>
      <c r="C1113" s="2">
        <v>44761.48333333333</v>
      </c>
      <c r="D1113" s="2">
        <v>44761.489699074074</v>
      </c>
      <c r="E1113" s="3">
        <f t="shared" si="51"/>
        <v>44761</v>
      </c>
      <c r="F1113">
        <f t="shared" si="52"/>
        <v>7</v>
      </c>
      <c r="G1113" s="4">
        <f t="shared" si="53"/>
        <v>9.1666666720993817</v>
      </c>
      <c r="H1113">
        <f>IF(COUNTIFS(B$2:B1113,B1113,E$2:E1113,E1113)=1,1,0)</f>
        <v>0</v>
      </c>
      <c r="I1113">
        <f>IF(COUNTIFS(B$2:B1113,B1113,F$2:F1113,F1113)=1,1,0)</f>
        <v>0</v>
      </c>
    </row>
    <row r="1114" spans="1:9" x14ac:dyDescent="0.3">
      <c r="A1114">
        <v>1124</v>
      </c>
      <c r="B1114">
        <v>96</v>
      </c>
      <c r="C1114" s="2">
        <v>44761.637766203705</v>
      </c>
      <c r="D1114" s="2">
        <v>44761.641712962963</v>
      </c>
      <c r="E1114" s="3">
        <f t="shared" si="51"/>
        <v>44761</v>
      </c>
      <c r="F1114">
        <f t="shared" si="52"/>
        <v>7</v>
      </c>
      <c r="G1114" s="4">
        <f t="shared" si="53"/>
        <v>5.6833333312533796</v>
      </c>
      <c r="H1114">
        <f>IF(COUNTIFS(B$2:B1114,B1114,E$2:E1114,E1114)=1,1,0)</f>
        <v>0</v>
      </c>
      <c r="I1114">
        <f>IF(COUNTIFS(B$2:B1114,B1114,F$2:F1114,F1114)=1,1,0)</f>
        <v>0</v>
      </c>
    </row>
    <row r="1115" spans="1:9" x14ac:dyDescent="0.3">
      <c r="A1115">
        <v>1125</v>
      </c>
      <c r="B1115">
        <v>96</v>
      </c>
      <c r="C1115" s="2">
        <v>44761.782175925924</v>
      </c>
      <c r="D1115" s="2">
        <v>44761.783194444448</v>
      </c>
      <c r="E1115" s="3">
        <f t="shared" si="51"/>
        <v>44761</v>
      </c>
      <c r="F1115">
        <f t="shared" si="52"/>
        <v>7</v>
      </c>
      <c r="G1115" s="4">
        <f t="shared" si="53"/>
        <v>1.4666666742414236</v>
      </c>
      <c r="H1115">
        <f>IF(COUNTIFS(B$2:B1115,B1115,E$2:E1115,E1115)=1,1,0)</f>
        <v>0</v>
      </c>
      <c r="I1115">
        <f>IF(COUNTIFS(B$2:B1115,B1115,F$2:F1115,F1115)=1,1,0)</f>
        <v>0</v>
      </c>
    </row>
    <row r="1116" spans="1:9" x14ac:dyDescent="0.3">
      <c r="A1116">
        <v>1126</v>
      </c>
      <c r="B1116">
        <v>96</v>
      </c>
      <c r="C1116" s="2">
        <v>44762.109293981484</v>
      </c>
      <c r="D1116" s="2">
        <v>44762.116493055553</v>
      </c>
      <c r="E1116" s="3">
        <f t="shared" si="51"/>
        <v>44762</v>
      </c>
      <c r="F1116">
        <f t="shared" si="52"/>
        <v>7</v>
      </c>
      <c r="G1116" s="4">
        <f t="shared" si="53"/>
        <v>10.36666665924713</v>
      </c>
      <c r="H1116">
        <f>IF(COUNTIFS(B$2:B1116,B1116,E$2:E1116,E1116)=1,1,0)</f>
        <v>1</v>
      </c>
      <c r="I1116">
        <f>IF(COUNTIFS(B$2:B1116,B1116,F$2:F1116,F1116)=1,1,0)</f>
        <v>0</v>
      </c>
    </row>
    <row r="1117" spans="1:9" x14ac:dyDescent="0.3">
      <c r="A1117">
        <v>1127</v>
      </c>
      <c r="B1117">
        <v>96</v>
      </c>
      <c r="C1117" s="2">
        <v>44762.278726851851</v>
      </c>
      <c r="D1117" s="2">
        <v>44762.283229166664</v>
      </c>
      <c r="E1117" s="3">
        <f t="shared" si="51"/>
        <v>44762</v>
      </c>
      <c r="F1117">
        <f t="shared" si="52"/>
        <v>7</v>
      </c>
      <c r="G1117" s="4">
        <f t="shared" si="53"/>
        <v>6.4833333296701312</v>
      </c>
      <c r="H1117">
        <f>IF(COUNTIFS(B$2:B1117,B1117,E$2:E1117,E1117)=1,1,0)</f>
        <v>0</v>
      </c>
      <c r="I1117">
        <f>IF(COUNTIFS(B$2:B1117,B1117,F$2:F1117,F1117)=1,1,0)</f>
        <v>0</v>
      </c>
    </row>
    <row r="1118" spans="1:9" x14ac:dyDescent="0.3">
      <c r="A1118">
        <v>1128</v>
      </c>
      <c r="B1118">
        <v>96</v>
      </c>
      <c r="C1118" s="2">
        <v>44762.501817129632</v>
      </c>
      <c r="D1118" s="2">
        <v>44762.508784722224</v>
      </c>
      <c r="E1118" s="3">
        <f t="shared" si="51"/>
        <v>44762</v>
      </c>
      <c r="F1118">
        <f t="shared" si="52"/>
        <v>7</v>
      </c>
      <c r="G1118" s="4">
        <f t="shared" si="53"/>
        <v>10.033333331812173</v>
      </c>
      <c r="H1118">
        <f>IF(COUNTIFS(B$2:B1118,B1118,E$2:E1118,E1118)=1,1,0)</f>
        <v>0</v>
      </c>
      <c r="I1118">
        <f>IF(COUNTIFS(B$2:B1118,B1118,F$2:F1118,F1118)=1,1,0)</f>
        <v>0</v>
      </c>
    </row>
    <row r="1119" spans="1:9" x14ac:dyDescent="0.3">
      <c r="A1119">
        <v>1129</v>
      </c>
      <c r="B1119">
        <v>96</v>
      </c>
      <c r="C1119" s="2">
        <v>44762.550752314812</v>
      </c>
      <c r="D1119" s="2">
        <v>44762.560289351852</v>
      </c>
      <c r="E1119" s="3">
        <f t="shared" si="51"/>
        <v>44762</v>
      </c>
      <c r="F1119">
        <f t="shared" si="52"/>
        <v>7</v>
      </c>
      <c r="G1119" s="4">
        <f t="shared" si="53"/>
        <v>13.733333337586373</v>
      </c>
      <c r="H1119">
        <f>IF(COUNTIFS(B$2:B1119,B1119,E$2:E1119,E1119)=1,1,0)</f>
        <v>0</v>
      </c>
      <c r="I1119">
        <f>IF(COUNTIFS(B$2:B1119,B1119,F$2:F1119,F1119)=1,1,0)</f>
        <v>0</v>
      </c>
    </row>
    <row r="1120" spans="1:9" x14ac:dyDescent="0.3">
      <c r="A1120">
        <v>1130</v>
      </c>
      <c r="B1120">
        <v>96</v>
      </c>
      <c r="C1120" s="2">
        <v>44762.69935185185</v>
      </c>
      <c r="D1120" s="2">
        <v>44762.704097222224</v>
      </c>
      <c r="E1120" s="3">
        <f t="shared" si="51"/>
        <v>44762</v>
      </c>
      <c r="F1120">
        <f t="shared" si="52"/>
        <v>7</v>
      </c>
      <c r="G1120" s="4">
        <f t="shared" si="53"/>
        <v>6.8333333381451666</v>
      </c>
      <c r="H1120">
        <f>IF(COUNTIFS(B$2:B1120,B1120,E$2:E1120,E1120)=1,1,0)</f>
        <v>0</v>
      </c>
      <c r="I1120">
        <f>IF(COUNTIFS(B$2:B1120,B1120,F$2:F1120,F1120)=1,1,0)</f>
        <v>0</v>
      </c>
    </row>
    <row r="1121" spans="1:9" x14ac:dyDescent="0.3">
      <c r="A1121">
        <v>1131</v>
      </c>
      <c r="B1121">
        <v>96</v>
      </c>
      <c r="C1121" s="2">
        <v>44762.897337962961</v>
      </c>
      <c r="D1121" s="2">
        <v>44762.90488425926</v>
      </c>
      <c r="E1121" s="3">
        <f t="shared" si="51"/>
        <v>44762</v>
      </c>
      <c r="F1121">
        <f t="shared" si="52"/>
        <v>7</v>
      </c>
      <c r="G1121" s="4">
        <f t="shared" si="53"/>
        <v>10.866666671354324</v>
      </c>
      <c r="H1121">
        <f>IF(COUNTIFS(B$2:B1121,B1121,E$2:E1121,E1121)=1,1,0)</f>
        <v>0</v>
      </c>
      <c r="I1121">
        <f>IF(COUNTIFS(B$2:B1121,B1121,F$2:F1121,F1121)=1,1,0)</f>
        <v>0</v>
      </c>
    </row>
    <row r="1122" spans="1:9" x14ac:dyDescent="0.3">
      <c r="A1122">
        <v>1132</v>
      </c>
      <c r="B1122">
        <v>96</v>
      </c>
      <c r="C1122" s="2">
        <v>44763.02516203704</v>
      </c>
      <c r="D1122" s="2">
        <v>44763.03</v>
      </c>
      <c r="E1122" s="3">
        <f t="shared" si="51"/>
        <v>44763</v>
      </c>
      <c r="F1122">
        <f t="shared" si="52"/>
        <v>7</v>
      </c>
      <c r="G1122" s="4">
        <f t="shared" si="53"/>
        <v>6.9666666607372463</v>
      </c>
      <c r="H1122">
        <f>IF(COUNTIFS(B$2:B1122,B1122,E$2:E1122,E1122)=1,1,0)</f>
        <v>1</v>
      </c>
      <c r="I1122">
        <f>IF(COUNTIFS(B$2:B1122,B1122,F$2:F1122,F1122)=1,1,0)</f>
        <v>0</v>
      </c>
    </row>
    <row r="1123" spans="1:9" x14ac:dyDescent="0.3">
      <c r="A1123">
        <v>1133</v>
      </c>
      <c r="B1123">
        <v>96</v>
      </c>
      <c r="C1123" s="2">
        <v>44763.304189814815</v>
      </c>
      <c r="D1123" s="2">
        <v>44763.312280092592</v>
      </c>
      <c r="E1123" s="3">
        <f t="shared" si="51"/>
        <v>44763</v>
      </c>
      <c r="F1123">
        <f t="shared" si="52"/>
        <v>7</v>
      </c>
      <c r="G1123" s="4">
        <f t="shared" si="53"/>
        <v>11.649999999208376</v>
      </c>
      <c r="H1123">
        <f>IF(COUNTIFS(B$2:B1123,B1123,E$2:E1123,E1123)=1,1,0)</f>
        <v>0</v>
      </c>
      <c r="I1123">
        <f>IF(COUNTIFS(B$2:B1123,B1123,F$2:F1123,F1123)=1,1,0)</f>
        <v>0</v>
      </c>
    </row>
    <row r="1124" spans="1:9" x14ac:dyDescent="0.3">
      <c r="A1124">
        <v>1134</v>
      </c>
      <c r="B1124">
        <v>96</v>
      </c>
      <c r="C1124" s="2">
        <v>44763.516817129632</v>
      </c>
      <c r="D1124" s="2">
        <v>44763.524768518517</v>
      </c>
      <c r="E1124" s="3">
        <f t="shared" si="51"/>
        <v>44763</v>
      </c>
      <c r="F1124">
        <f t="shared" si="52"/>
        <v>7</v>
      </c>
      <c r="G1124" s="4">
        <f t="shared" si="53"/>
        <v>11.449999994365498</v>
      </c>
      <c r="H1124">
        <f>IF(COUNTIFS(B$2:B1124,B1124,E$2:E1124,E1124)=1,1,0)</f>
        <v>0</v>
      </c>
      <c r="I1124">
        <f>IF(COUNTIFS(B$2:B1124,B1124,F$2:F1124,F1124)=1,1,0)</f>
        <v>0</v>
      </c>
    </row>
    <row r="1125" spans="1:9" x14ac:dyDescent="0.3">
      <c r="A1125">
        <v>1135</v>
      </c>
      <c r="B1125">
        <v>96</v>
      </c>
      <c r="C1125" s="2">
        <v>44763.824224537035</v>
      </c>
      <c r="D1125" s="2">
        <v>44763.829432870371</v>
      </c>
      <c r="E1125" s="3">
        <f t="shared" si="51"/>
        <v>44763</v>
      </c>
      <c r="F1125">
        <f t="shared" si="52"/>
        <v>7</v>
      </c>
      <c r="G1125" s="4">
        <f t="shared" si="53"/>
        <v>7.5000000034924597</v>
      </c>
      <c r="H1125">
        <f>IF(COUNTIFS(B$2:B1125,B1125,E$2:E1125,E1125)=1,1,0)</f>
        <v>0</v>
      </c>
      <c r="I1125">
        <f>IF(COUNTIFS(B$2:B1125,B1125,F$2:F1125,F1125)=1,1,0)</f>
        <v>0</v>
      </c>
    </row>
    <row r="1126" spans="1:9" x14ac:dyDescent="0.3">
      <c r="A1126">
        <v>1136</v>
      </c>
      <c r="B1126">
        <v>96</v>
      </c>
      <c r="C1126" s="2">
        <v>44763.900879629633</v>
      </c>
      <c r="D1126" s="2">
        <v>44763.908715277779</v>
      </c>
      <c r="E1126" s="3">
        <f t="shared" si="51"/>
        <v>44763</v>
      </c>
      <c r="F1126">
        <f t="shared" si="52"/>
        <v>7</v>
      </c>
      <c r="G1126" s="4">
        <f t="shared" si="53"/>
        <v>11.28333333064802</v>
      </c>
      <c r="H1126">
        <f>IF(COUNTIFS(B$2:B1126,B1126,E$2:E1126,E1126)=1,1,0)</f>
        <v>0</v>
      </c>
      <c r="I1126">
        <f>IF(COUNTIFS(B$2:B1126,B1126,F$2:F1126,F1126)=1,1,0)</f>
        <v>0</v>
      </c>
    </row>
    <row r="1127" spans="1:9" x14ac:dyDescent="0.3">
      <c r="A1127">
        <v>1137</v>
      </c>
      <c r="B1127">
        <v>96</v>
      </c>
      <c r="C1127" s="2">
        <v>44764.048587962963</v>
      </c>
      <c r="D1127" s="2">
        <v>44764.054884259262</v>
      </c>
      <c r="E1127" s="3">
        <f t="shared" si="51"/>
        <v>44764</v>
      </c>
      <c r="F1127">
        <f t="shared" si="52"/>
        <v>7</v>
      </c>
      <c r="G1127" s="4">
        <f t="shared" si="53"/>
        <v>9.066666669677943</v>
      </c>
      <c r="H1127">
        <f>IF(COUNTIFS(B$2:B1127,B1127,E$2:E1127,E1127)=1,1,0)</f>
        <v>1</v>
      </c>
      <c r="I1127">
        <f>IF(COUNTIFS(B$2:B1127,B1127,F$2:F1127,F1127)=1,1,0)</f>
        <v>0</v>
      </c>
    </row>
    <row r="1128" spans="1:9" x14ac:dyDescent="0.3">
      <c r="A1128">
        <v>1138</v>
      </c>
      <c r="B1128">
        <v>96</v>
      </c>
      <c r="C1128" s="2">
        <v>44764.133472222224</v>
      </c>
      <c r="D1128" s="2">
        <v>44764.14025462963</v>
      </c>
      <c r="E1128" s="3">
        <f t="shared" si="51"/>
        <v>44764</v>
      </c>
      <c r="F1128">
        <f t="shared" si="52"/>
        <v>7</v>
      </c>
      <c r="G1128" s="4">
        <f t="shared" si="53"/>
        <v>9.7666666656732559</v>
      </c>
      <c r="H1128">
        <f>IF(COUNTIFS(B$2:B1128,B1128,E$2:E1128,E1128)=1,1,0)</f>
        <v>0</v>
      </c>
      <c r="I1128">
        <f>IF(COUNTIFS(B$2:B1128,B1128,F$2:F1128,F1128)=1,1,0)</f>
        <v>0</v>
      </c>
    </row>
    <row r="1129" spans="1:9" x14ac:dyDescent="0.3">
      <c r="A1129">
        <v>1139</v>
      </c>
      <c r="B1129">
        <v>96</v>
      </c>
      <c r="C1129" s="2">
        <v>44764.272245370368</v>
      </c>
      <c r="D1129" s="2">
        <v>44764.281585648147</v>
      </c>
      <c r="E1129" s="3">
        <f t="shared" si="51"/>
        <v>44764</v>
      </c>
      <c r="F1129">
        <f t="shared" si="52"/>
        <v>7</v>
      </c>
      <c r="G1129" s="4">
        <f t="shared" si="53"/>
        <v>13.450000000884756</v>
      </c>
      <c r="H1129">
        <f>IF(COUNTIFS(B$2:B1129,B1129,E$2:E1129,E1129)=1,1,0)</f>
        <v>0</v>
      </c>
      <c r="I1129">
        <f>IF(COUNTIFS(B$2:B1129,B1129,F$2:F1129,F1129)=1,1,0)</f>
        <v>0</v>
      </c>
    </row>
    <row r="1130" spans="1:9" x14ac:dyDescent="0.3">
      <c r="A1130">
        <v>1140</v>
      </c>
      <c r="B1130">
        <v>96</v>
      </c>
      <c r="C1130" s="2">
        <v>44764.445428240739</v>
      </c>
      <c r="D1130" s="2">
        <v>44764.452615740738</v>
      </c>
      <c r="E1130" s="3">
        <f t="shared" si="51"/>
        <v>44764</v>
      </c>
      <c r="F1130">
        <f t="shared" si="52"/>
        <v>7</v>
      </c>
      <c r="G1130" s="4">
        <f t="shared" si="53"/>
        <v>10.34999999916181</v>
      </c>
      <c r="H1130">
        <f>IF(COUNTIFS(B$2:B1130,B1130,E$2:E1130,E1130)=1,1,0)</f>
        <v>0</v>
      </c>
      <c r="I1130">
        <f>IF(COUNTIFS(B$2:B1130,B1130,F$2:F1130,F1130)=1,1,0)</f>
        <v>0</v>
      </c>
    </row>
    <row r="1131" spans="1:9" x14ac:dyDescent="0.3">
      <c r="A1131">
        <v>1141</v>
      </c>
      <c r="B1131">
        <v>96</v>
      </c>
      <c r="C1131" s="2">
        <v>44764.721620370372</v>
      </c>
      <c r="D1131" s="2">
        <v>44764.730729166666</v>
      </c>
      <c r="E1131" s="3">
        <f t="shared" si="51"/>
        <v>44764</v>
      </c>
      <c r="F1131">
        <f t="shared" si="52"/>
        <v>7</v>
      </c>
      <c r="G1131" s="4">
        <f t="shared" si="53"/>
        <v>13.11666666297242</v>
      </c>
      <c r="H1131">
        <f>IF(COUNTIFS(B$2:B1131,B1131,E$2:E1131,E1131)=1,1,0)</f>
        <v>0</v>
      </c>
      <c r="I1131">
        <f>IF(COUNTIFS(B$2:B1131,B1131,F$2:F1131,F1131)=1,1,0)</f>
        <v>0</v>
      </c>
    </row>
    <row r="1132" spans="1:9" x14ac:dyDescent="0.3">
      <c r="A1132">
        <v>1142</v>
      </c>
      <c r="B1132">
        <v>96</v>
      </c>
      <c r="C1132" s="2">
        <v>44764.780185185184</v>
      </c>
      <c r="D1132" s="2">
        <v>44764.788182870368</v>
      </c>
      <c r="E1132" s="3">
        <f t="shared" si="51"/>
        <v>44764</v>
      </c>
      <c r="F1132">
        <f t="shared" si="52"/>
        <v>7</v>
      </c>
      <c r="G1132" s="4">
        <f t="shared" si="53"/>
        <v>11.516666666138917</v>
      </c>
      <c r="H1132">
        <f>IF(COUNTIFS(B$2:B1132,B1132,E$2:E1132,E1132)=1,1,0)</f>
        <v>0</v>
      </c>
      <c r="I1132">
        <f>IF(COUNTIFS(B$2:B1132,B1132,F$2:F1132,F1132)=1,1,0)</f>
        <v>0</v>
      </c>
    </row>
    <row r="1133" spans="1:9" x14ac:dyDescent="0.3">
      <c r="A1133">
        <v>1143</v>
      </c>
      <c r="B1133">
        <v>96</v>
      </c>
      <c r="C1133" s="2">
        <v>44764.902326388888</v>
      </c>
      <c r="D1133" s="2">
        <v>44764.907893518517</v>
      </c>
      <c r="E1133" s="3">
        <f t="shared" si="51"/>
        <v>44764</v>
      </c>
      <c r="F1133">
        <f t="shared" si="52"/>
        <v>7</v>
      </c>
      <c r="G1133" s="4">
        <f t="shared" si="53"/>
        <v>8.0166666652075946</v>
      </c>
      <c r="H1133">
        <f>IF(COUNTIFS(B$2:B1133,B1133,E$2:E1133,E1133)=1,1,0)</f>
        <v>0</v>
      </c>
      <c r="I1133">
        <f>IF(COUNTIFS(B$2:B1133,B1133,F$2:F1133,F1133)=1,1,0)</f>
        <v>0</v>
      </c>
    </row>
    <row r="1134" spans="1:9" x14ac:dyDescent="0.3">
      <c r="A1134">
        <v>1144</v>
      </c>
      <c r="B1134">
        <v>96</v>
      </c>
      <c r="C1134" s="2">
        <v>44765.010011574072</v>
      </c>
      <c r="D1134" s="2">
        <v>44765.013032407405</v>
      </c>
      <c r="E1134" s="3">
        <f t="shared" si="51"/>
        <v>44765</v>
      </c>
      <c r="F1134">
        <f t="shared" si="52"/>
        <v>7</v>
      </c>
      <c r="G1134" s="4">
        <f t="shared" si="53"/>
        <v>4.3500000005587935</v>
      </c>
      <c r="H1134">
        <f>IF(COUNTIFS(B$2:B1134,B1134,E$2:E1134,E1134)=1,1,0)</f>
        <v>1</v>
      </c>
      <c r="I1134">
        <f>IF(COUNTIFS(B$2:B1134,B1134,F$2:F1134,F1134)=1,1,0)</f>
        <v>0</v>
      </c>
    </row>
    <row r="1135" spans="1:9" x14ac:dyDescent="0.3">
      <c r="A1135">
        <v>1145</v>
      </c>
      <c r="B1135">
        <v>97</v>
      </c>
      <c r="C1135" s="2">
        <v>44640.360902777778</v>
      </c>
      <c r="D1135" s="2">
        <v>44640.363402777781</v>
      </c>
      <c r="E1135" s="3">
        <f t="shared" si="51"/>
        <v>44640</v>
      </c>
      <c r="F1135">
        <f t="shared" si="52"/>
        <v>3</v>
      </c>
      <c r="G1135" s="4">
        <f t="shared" si="53"/>
        <v>3.6000000033527613</v>
      </c>
      <c r="H1135">
        <f>IF(COUNTIFS(B$2:B1135,B1135,E$2:E1135,E1135)=1,1,0)</f>
        <v>1</v>
      </c>
      <c r="I1135">
        <f>IF(COUNTIFS(B$2:B1135,B1135,F$2:F1135,F1135)=1,1,0)</f>
        <v>1</v>
      </c>
    </row>
    <row r="1136" spans="1:9" x14ac:dyDescent="0.3">
      <c r="A1136">
        <v>1146</v>
      </c>
      <c r="B1136">
        <v>97</v>
      </c>
      <c r="C1136" s="2">
        <v>44640.539340277777</v>
      </c>
      <c r="D1136" s="2">
        <v>44640.545949074076</v>
      </c>
      <c r="E1136" s="3">
        <f t="shared" si="51"/>
        <v>44640</v>
      </c>
      <c r="F1136">
        <f t="shared" si="52"/>
        <v>3</v>
      </c>
      <c r="G1136" s="4">
        <f t="shared" si="53"/>
        <v>9.5166666700970381</v>
      </c>
      <c r="H1136">
        <f>IF(COUNTIFS(B$2:B1136,B1136,E$2:E1136,E1136)=1,1,0)</f>
        <v>0</v>
      </c>
      <c r="I1136">
        <f>IF(COUNTIFS(B$2:B1136,B1136,F$2:F1136,F1136)=1,1,0)</f>
        <v>0</v>
      </c>
    </row>
    <row r="1137" spans="1:9" x14ac:dyDescent="0.3">
      <c r="A1137">
        <v>1147</v>
      </c>
      <c r="B1137">
        <v>97</v>
      </c>
      <c r="C1137" s="2">
        <v>44640.689513888887</v>
      </c>
      <c r="D1137" s="2">
        <v>44640.696238425924</v>
      </c>
      <c r="E1137" s="3">
        <f t="shared" si="51"/>
        <v>44640</v>
      </c>
      <c r="F1137">
        <f t="shared" si="52"/>
        <v>3</v>
      </c>
      <c r="G1137" s="4">
        <f t="shared" si="53"/>
        <v>9.6833333338145167</v>
      </c>
      <c r="H1137">
        <f>IF(COUNTIFS(B$2:B1137,B1137,E$2:E1137,E1137)=1,1,0)</f>
        <v>0</v>
      </c>
      <c r="I1137">
        <f>IF(COUNTIFS(B$2:B1137,B1137,F$2:F1137,F1137)=1,1,0)</f>
        <v>0</v>
      </c>
    </row>
    <row r="1138" spans="1:9" x14ac:dyDescent="0.3">
      <c r="A1138">
        <v>1148</v>
      </c>
      <c r="B1138">
        <v>97</v>
      </c>
      <c r="C1138" s="2">
        <v>44640.842152777775</v>
      </c>
      <c r="D1138" s="2">
        <v>44640.847650462965</v>
      </c>
      <c r="E1138" s="3">
        <f t="shared" si="51"/>
        <v>44640</v>
      </c>
      <c r="F1138">
        <f t="shared" si="52"/>
        <v>3</v>
      </c>
      <c r="G1138" s="4">
        <f t="shared" si="53"/>
        <v>7.9166666732635349</v>
      </c>
      <c r="H1138">
        <f>IF(COUNTIFS(B$2:B1138,B1138,E$2:E1138,E1138)=1,1,0)</f>
        <v>0</v>
      </c>
      <c r="I1138">
        <f>IF(COUNTIFS(B$2:B1138,B1138,F$2:F1138,F1138)=1,1,0)</f>
        <v>0</v>
      </c>
    </row>
    <row r="1139" spans="1:9" x14ac:dyDescent="0.3">
      <c r="A1139">
        <v>1149</v>
      </c>
      <c r="B1139">
        <v>97</v>
      </c>
      <c r="C1139" s="2">
        <v>44640.925370370373</v>
      </c>
      <c r="D1139" s="2">
        <v>44640.930636574078</v>
      </c>
      <c r="E1139" s="3">
        <f t="shared" si="51"/>
        <v>44640</v>
      </c>
      <c r="F1139">
        <f t="shared" si="52"/>
        <v>3</v>
      </c>
      <c r="G1139" s="4">
        <f t="shared" si="53"/>
        <v>7.5833333353511989</v>
      </c>
      <c r="H1139">
        <f>IF(COUNTIFS(B$2:B1139,B1139,E$2:E1139,E1139)=1,1,0)</f>
        <v>0</v>
      </c>
      <c r="I1139">
        <f>IF(COUNTIFS(B$2:B1139,B1139,F$2:F1139,F1139)=1,1,0)</f>
        <v>0</v>
      </c>
    </row>
    <row r="1140" spans="1:9" x14ac:dyDescent="0.3">
      <c r="A1140">
        <v>1150</v>
      </c>
      <c r="B1140">
        <v>98</v>
      </c>
      <c r="C1140" s="2">
        <v>44770.412835648145</v>
      </c>
      <c r="D1140" s="2">
        <v>44770.41375</v>
      </c>
      <c r="E1140" s="3">
        <f t="shared" si="51"/>
        <v>44770</v>
      </c>
      <c r="F1140">
        <f t="shared" si="52"/>
        <v>7</v>
      </c>
      <c r="G1140" s="4">
        <f t="shared" si="53"/>
        <v>1.3166666706092656</v>
      </c>
      <c r="H1140">
        <f>IF(COUNTIFS(B$2:B1140,B1140,E$2:E1140,E1140)=1,1,0)</f>
        <v>1</v>
      </c>
      <c r="I1140">
        <f>IF(COUNTIFS(B$2:B1140,B1140,F$2:F1140,F1140)=1,1,0)</f>
        <v>1</v>
      </c>
    </row>
    <row r="1141" spans="1:9" x14ac:dyDescent="0.3">
      <c r="A1141">
        <v>1151</v>
      </c>
      <c r="B1141">
        <v>98</v>
      </c>
      <c r="C1141" s="2">
        <v>44770.582766203705</v>
      </c>
      <c r="D1141" s="2">
        <v>44770.588645833333</v>
      </c>
      <c r="E1141" s="3">
        <f t="shared" si="51"/>
        <v>44770</v>
      </c>
      <c r="F1141">
        <f t="shared" si="52"/>
        <v>7</v>
      </c>
      <c r="G1141" s="4">
        <f t="shared" si="53"/>
        <v>8.4666666656266898</v>
      </c>
      <c r="H1141">
        <f>IF(COUNTIFS(B$2:B1141,B1141,E$2:E1141,E1141)=1,1,0)</f>
        <v>0</v>
      </c>
      <c r="I1141">
        <f>IF(COUNTIFS(B$2:B1141,B1141,F$2:F1141,F1141)=1,1,0)</f>
        <v>0</v>
      </c>
    </row>
    <row r="1142" spans="1:9" x14ac:dyDescent="0.3">
      <c r="A1142">
        <v>1152</v>
      </c>
      <c r="B1142">
        <v>98</v>
      </c>
      <c r="C1142" s="2">
        <v>44770.892395833333</v>
      </c>
      <c r="D1142" s="2">
        <v>44770.898692129631</v>
      </c>
      <c r="E1142" s="3">
        <f t="shared" si="51"/>
        <v>44770</v>
      </c>
      <c r="F1142">
        <f t="shared" si="52"/>
        <v>7</v>
      </c>
      <c r="G1142" s="4">
        <f t="shared" si="53"/>
        <v>9.066666669677943</v>
      </c>
      <c r="H1142">
        <f>IF(COUNTIFS(B$2:B1142,B1142,E$2:E1142,E1142)=1,1,0)</f>
        <v>0</v>
      </c>
      <c r="I1142">
        <f>IF(COUNTIFS(B$2:B1142,B1142,F$2:F1142,F1142)=1,1,0)</f>
        <v>0</v>
      </c>
    </row>
    <row r="1143" spans="1:9" x14ac:dyDescent="0.3">
      <c r="A1143">
        <v>1153</v>
      </c>
      <c r="B1143">
        <v>98</v>
      </c>
      <c r="C1143" s="2">
        <v>44771.075497685182</v>
      </c>
      <c r="D1143" s="2">
        <v>44771.081076388888</v>
      </c>
      <c r="E1143" s="3">
        <f t="shared" si="51"/>
        <v>44771</v>
      </c>
      <c r="F1143">
        <f t="shared" si="52"/>
        <v>7</v>
      </c>
      <c r="G1143" s="4">
        <f t="shared" si="53"/>
        <v>8.0333333357702941</v>
      </c>
      <c r="H1143">
        <f>IF(COUNTIFS(B$2:B1143,B1143,E$2:E1143,E1143)=1,1,0)</f>
        <v>1</v>
      </c>
      <c r="I1143">
        <f>IF(COUNTIFS(B$2:B1143,B1143,F$2:F1143,F1143)=1,1,0)</f>
        <v>0</v>
      </c>
    </row>
    <row r="1144" spans="1:9" x14ac:dyDescent="0.3">
      <c r="A1144">
        <v>1154</v>
      </c>
      <c r="B1144">
        <v>98</v>
      </c>
      <c r="C1144" s="2">
        <v>44771.305625000001</v>
      </c>
      <c r="D1144" s="2">
        <v>44771.308946759258</v>
      </c>
      <c r="E1144" s="3">
        <f t="shared" si="51"/>
        <v>44771</v>
      </c>
      <c r="F1144">
        <f t="shared" si="52"/>
        <v>7</v>
      </c>
      <c r="G1144" s="4">
        <f t="shared" si="53"/>
        <v>4.7833333304151893</v>
      </c>
      <c r="H1144">
        <f>IF(COUNTIFS(B$2:B1144,B1144,E$2:E1144,E1144)=1,1,0)</f>
        <v>0</v>
      </c>
      <c r="I1144">
        <f>IF(COUNTIFS(B$2:B1144,B1144,F$2:F1144,F1144)=1,1,0)</f>
        <v>0</v>
      </c>
    </row>
    <row r="1145" spans="1:9" x14ac:dyDescent="0.3">
      <c r="A1145">
        <v>1155</v>
      </c>
      <c r="B1145">
        <v>98</v>
      </c>
      <c r="C1145" s="2">
        <v>44771.584456018521</v>
      </c>
      <c r="D1145" s="2">
        <v>44771.592013888891</v>
      </c>
      <c r="E1145" s="3">
        <f t="shared" si="51"/>
        <v>44771</v>
      </c>
      <c r="F1145">
        <f t="shared" si="52"/>
        <v>7</v>
      </c>
      <c r="G1145" s="4">
        <f t="shared" si="53"/>
        <v>10.883333331439644</v>
      </c>
      <c r="H1145">
        <f>IF(COUNTIFS(B$2:B1145,B1145,E$2:E1145,E1145)=1,1,0)</f>
        <v>0</v>
      </c>
      <c r="I1145">
        <f>IF(COUNTIFS(B$2:B1145,B1145,F$2:F1145,F1145)=1,1,0)</f>
        <v>0</v>
      </c>
    </row>
    <row r="1146" spans="1:9" x14ac:dyDescent="0.3">
      <c r="A1146">
        <v>1156</v>
      </c>
      <c r="B1146">
        <v>99</v>
      </c>
      <c r="C1146" s="2">
        <v>44773.657604166663</v>
      </c>
      <c r="D1146" s="2">
        <v>44773.662187499998</v>
      </c>
      <c r="E1146" s="3">
        <f t="shared" si="51"/>
        <v>44773</v>
      </c>
      <c r="F1146">
        <f t="shared" si="52"/>
        <v>7</v>
      </c>
      <c r="G1146" s="4">
        <f t="shared" si="53"/>
        <v>6.6000000026542693</v>
      </c>
      <c r="H1146">
        <f>IF(COUNTIFS(B$2:B1146,B1146,E$2:E1146,E1146)=1,1,0)</f>
        <v>1</v>
      </c>
      <c r="I1146">
        <f>IF(COUNTIFS(B$2:B1146,B1146,F$2:F1146,F1146)=1,1,0)</f>
        <v>1</v>
      </c>
    </row>
    <row r="1147" spans="1:9" x14ac:dyDescent="0.3">
      <c r="A1147">
        <v>1157</v>
      </c>
      <c r="B1147">
        <v>99</v>
      </c>
      <c r="C1147" s="2">
        <v>44773.973935185182</v>
      </c>
      <c r="D1147" s="2">
        <v>44773.979039351849</v>
      </c>
      <c r="E1147" s="3">
        <f t="shared" si="51"/>
        <v>44773</v>
      </c>
      <c r="F1147">
        <f t="shared" si="52"/>
        <v>7</v>
      </c>
      <c r="G1147" s="4">
        <f t="shared" si="53"/>
        <v>7.3499999998603016</v>
      </c>
      <c r="H1147">
        <f>IF(COUNTIFS(B$2:B1147,B1147,E$2:E1147,E1147)=1,1,0)</f>
        <v>0</v>
      </c>
      <c r="I1147">
        <f>IF(COUNTIFS(B$2:B1147,B1147,F$2:F1147,F1147)=1,1,0)</f>
        <v>0</v>
      </c>
    </row>
    <row r="1148" spans="1:9" x14ac:dyDescent="0.3">
      <c r="A1148">
        <v>1158</v>
      </c>
      <c r="B1148">
        <v>99</v>
      </c>
      <c r="C1148" s="2">
        <v>44774.054664351854</v>
      </c>
      <c r="D1148" s="2">
        <v>44774.063692129632</v>
      </c>
      <c r="E1148" s="3">
        <f t="shared" si="51"/>
        <v>44774</v>
      </c>
      <c r="F1148">
        <f t="shared" si="52"/>
        <v>8</v>
      </c>
      <c r="G1148" s="4">
        <f t="shared" si="53"/>
        <v>13.000000000465661</v>
      </c>
      <c r="H1148">
        <f>IF(COUNTIFS(B$2:B1148,B1148,E$2:E1148,E1148)=1,1,0)</f>
        <v>1</v>
      </c>
      <c r="I1148">
        <f>IF(COUNTIFS(B$2:B1148,B1148,F$2:F1148,F1148)=1,1,0)</f>
        <v>1</v>
      </c>
    </row>
    <row r="1149" spans="1:9" x14ac:dyDescent="0.3">
      <c r="A1149">
        <v>1159</v>
      </c>
      <c r="B1149">
        <v>99</v>
      </c>
      <c r="C1149" s="2">
        <v>44774.23878472222</v>
      </c>
      <c r="D1149" s="2">
        <v>44774.245069444441</v>
      </c>
      <c r="E1149" s="3">
        <f t="shared" si="51"/>
        <v>44774</v>
      </c>
      <c r="F1149">
        <f t="shared" si="52"/>
        <v>8</v>
      </c>
      <c r="G1149" s="4">
        <f t="shared" si="53"/>
        <v>9.0499999991152436</v>
      </c>
      <c r="H1149">
        <f>IF(COUNTIFS(B$2:B1149,B1149,E$2:E1149,E1149)=1,1,0)</f>
        <v>0</v>
      </c>
      <c r="I1149">
        <f>IF(COUNTIFS(B$2:B1149,B1149,F$2:F1149,F1149)=1,1,0)</f>
        <v>0</v>
      </c>
    </row>
    <row r="1150" spans="1:9" x14ac:dyDescent="0.3">
      <c r="A1150">
        <v>1160</v>
      </c>
      <c r="B1150">
        <v>99</v>
      </c>
      <c r="C1150" s="2">
        <v>44774.479953703703</v>
      </c>
      <c r="D1150" s="2">
        <v>44774.485694444447</v>
      </c>
      <c r="E1150" s="3">
        <f t="shared" si="51"/>
        <v>44774</v>
      </c>
      <c r="F1150">
        <f t="shared" si="52"/>
        <v>8</v>
      </c>
      <c r="G1150" s="4">
        <f t="shared" si="53"/>
        <v>8.2666666712611914</v>
      </c>
      <c r="H1150">
        <f>IF(COUNTIFS(B$2:B1150,B1150,E$2:E1150,E1150)=1,1,0)</f>
        <v>0</v>
      </c>
      <c r="I1150">
        <f>IF(COUNTIFS(B$2:B1150,B1150,F$2:F1150,F1150)=1,1,0)</f>
        <v>0</v>
      </c>
    </row>
    <row r="1151" spans="1:9" x14ac:dyDescent="0.3">
      <c r="A1151">
        <v>1161</v>
      </c>
      <c r="B1151">
        <v>99</v>
      </c>
      <c r="C1151" s="2">
        <v>44774.614629629628</v>
      </c>
      <c r="D1151" s="2">
        <v>44774.621759259258</v>
      </c>
      <c r="E1151" s="3">
        <f t="shared" si="51"/>
        <v>44774</v>
      </c>
      <c r="F1151">
        <f t="shared" si="52"/>
        <v>8</v>
      </c>
      <c r="G1151" s="4">
        <f t="shared" si="53"/>
        <v>10.26666666730307</v>
      </c>
      <c r="H1151">
        <f>IF(COUNTIFS(B$2:B1151,B1151,E$2:E1151,E1151)=1,1,0)</f>
        <v>0</v>
      </c>
      <c r="I1151">
        <f>IF(COUNTIFS(B$2:B1151,B1151,F$2:F1151,F1151)=1,1,0)</f>
        <v>0</v>
      </c>
    </row>
    <row r="1152" spans="1:9" x14ac:dyDescent="0.3">
      <c r="A1152">
        <v>1162</v>
      </c>
      <c r="B1152">
        <v>99</v>
      </c>
      <c r="C1152" s="2">
        <v>44774.923819444448</v>
      </c>
      <c r="D1152" s="2">
        <v>44774.930069444446</v>
      </c>
      <c r="E1152" s="3">
        <f t="shared" si="51"/>
        <v>44774</v>
      </c>
      <c r="F1152">
        <f t="shared" si="52"/>
        <v>8</v>
      </c>
      <c r="G1152" s="4">
        <f t="shared" si="53"/>
        <v>8.9999999979045242</v>
      </c>
      <c r="H1152">
        <f>IF(COUNTIFS(B$2:B1152,B1152,E$2:E1152,E1152)=1,1,0)</f>
        <v>0</v>
      </c>
      <c r="I1152">
        <f>IF(COUNTIFS(B$2:B1152,B1152,F$2:F1152,F1152)=1,1,0)</f>
        <v>0</v>
      </c>
    </row>
    <row r="1153" spans="1:9" x14ac:dyDescent="0.3">
      <c r="A1153">
        <v>1163</v>
      </c>
      <c r="B1153">
        <v>99</v>
      </c>
      <c r="C1153" s="2">
        <v>44775.151956018519</v>
      </c>
      <c r="D1153" s="2">
        <v>44775.160752314812</v>
      </c>
      <c r="E1153" s="3">
        <f t="shared" si="51"/>
        <v>44775</v>
      </c>
      <c r="F1153">
        <f t="shared" si="52"/>
        <v>8</v>
      </c>
      <c r="G1153" s="4">
        <f t="shared" si="53"/>
        <v>12.666666662553325</v>
      </c>
      <c r="H1153">
        <f>IF(COUNTIFS(B$2:B1153,B1153,E$2:E1153,E1153)=1,1,0)</f>
        <v>1</v>
      </c>
      <c r="I1153">
        <f>IF(COUNTIFS(B$2:B1153,B1153,F$2:F1153,F1153)=1,1,0)</f>
        <v>0</v>
      </c>
    </row>
    <row r="1154" spans="1:9" x14ac:dyDescent="0.3">
      <c r="A1154">
        <v>1164</v>
      </c>
      <c r="B1154">
        <v>99</v>
      </c>
      <c r="C1154" s="2">
        <v>44775.278541666667</v>
      </c>
      <c r="D1154" s="2">
        <v>44775.284282407411</v>
      </c>
      <c r="E1154" s="3">
        <f t="shared" ref="E1154:E1185" si="54">INT(C1154)</f>
        <v>44775</v>
      </c>
      <c r="F1154">
        <f t="shared" ref="F1154:F1185" si="55">MONTH(C1154)</f>
        <v>8</v>
      </c>
      <c r="G1154" s="4">
        <f t="shared" ref="G1154:G1185" si="56">(D1154-C1154)*1440</f>
        <v>8.2666666712611914</v>
      </c>
      <c r="H1154">
        <f>IF(COUNTIFS(B$2:B1154,B1154,E$2:E1154,E1154)=1,1,0)</f>
        <v>0</v>
      </c>
      <c r="I1154">
        <f>IF(COUNTIFS(B$2:B1154,B1154,F$2:F1154,F1154)=1,1,0)</f>
        <v>0</v>
      </c>
    </row>
    <row r="1155" spans="1:9" x14ac:dyDescent="0.3">
      <c r="A1155">
        <v>1165</v>
      </c>
      <c r="B1155">
        <v>99</v>
      </c>
      <c r="C1155" s="2">
        <v>44775.591817129629</v>
      </c>
      <c r="D1155" s="2">
        <v>44775.596770833334</v>
      </c>
      <c r="E1155" s="3">
        <f t="shared" si="54"/>
        <v>44775</v>
      </c>
      <c r="F1155">
        <f t="shared" si="55"/>
        <v>8</v>
      </c>
      <c r="G1155" s="4">
        <f t="shared" si="56"/>
        <v>7.1333333349321038</v>
      </c>
      <c r="H1155">
        <f>IF(COUNTIFS(B$2:B1155,B1155,E$2:E1155,E1155)=1,1,0)</f>
        <v>0</v>
      </c>
      <c r="I1155">
        <f>IF(COUNTIFS(B$2:B1155,B1155,F$2:F1155,F1155)=1,1,0)</f>
        <v>0</v>
      </c>
    </row>
    <row r="1156" spans="1:9" x14ac:dyDescent="0.3">
      <c r="A1156">
        <v>1166</v>
      </c>
      <c r="B1156">
        <v>99</v>
      </c>
      <c r="C1156" s="2">
        <v>44775.646296296298</v>
      </c>
      <c r="D1156" s="2">
        <v>44775.650266203702</v>
      </c>
      <c r="E1156" s="3">
        <f t="shared" si="54"/>
        <v>44775</v>
      </c>
      <c r="F1156">
        <f t="shared" si="55"/>
        <v>8</v>
      </c>
      <c r="G1156" s="4">
        <f t="shared" si="56"/>
        <v>5.7166666619013995</v>
      </c>
      <c r="H1156">
        <f>IF(COUNTIFS(B$2:B1156,B1156,E$2:E1156,E1156)=1,1,0)</f>
        <v>0</v>
      </c>
      <c r="I1156">
        <f>IF(COUNTIFS(B$2:B1156,B1156,F$2:F1156,F1156)=1,1,0)</f>
        <v>0</v>
      </c>
    </row>
    <row r="1157" spans="1:9" x14ac:dyDescent="0.3">
      <c r="A1157">
        <v>1167</v>
      </c>
      <c r="B1157">
        <v>99</v>
      </c>
      <c r="C1157" s="2">
        <v>44775.930694444447</v>
      </c>
      <c r="D1157" s="2">
        <v>44775.937511574077</v>
      </c>
      <c r="E1157" s="3">
        <f t="shared" si="54"/>
        <v>44775</v>
      </c>
      <c r="F1157">
        <f t="shared" si="55"/>
        <v>8</v>
      </c>
      <c r="G1157" s="4">
        <f t="shared" si="56"/>
        <v>9.8166666668839753</v>
      </c>
      <c r="H1157">
        <f>IF(COUNTIFS(B$2:B1157,B1157,E$2:E1157,E1157)=1,1,0)</f>
        <v>0</v>
      </c>
      <c r="I1157">
        <f>IF(COUNTIFS(B$2:B1157,B1157,F$2:F1157,F1157)=1,1,0)</f>
        <v>0</v>
      </c>
    </row>
    <row r="1158" spans="1:9" x14ac:dyDescent="0.3">
      <c r="A1158">
        <v>1168</v>
      </c>
      <c r="B1158">
        <v>99</v>
      </c>
      <c r="C1158" s="2">
        <v>44775.981990740744</v>
      </c>
      <c r="D1158" s="2">
        <v>44775.987893518519</v>
      </c>
      <c r="E1158" s="3">
        <f t="shared" si="54"/>
        <v>44775</v>
      </c>
      <c r="F1158">
        <f t="shared" si="55"/>
        <v>8</v>
      </c>
      <c r="G1158" s="4">
        <f t="shared" si="56"/>
        <v>8.4999999962747097</v>
      </c>
      <c r="H1158">
        <f>IF(COUNTIFS(B$2:B1158,B1158,E$2:E1158,E1158)=1,1,0)</f>
        <v>0</v>
      </c>
      <c r="I1158">
        <f>IF(COUNTIFS(B$2:B1158,B1158,F$2:F1158,F1158)=1,1,0)</f>
        <v>0</v>
      </c>
    </row>
    <row r="1159" spans="1:9" x14ac:dyDescent="0.3">
      <c r="A1159">
        <v>1169</v>
      </c>
      <c r="B1159">
        <v>99</v>
      </c>
      <c r="C1159" s="2">
        <v>44776.171678240738</v>
      </c>
      <c r="D1159" s="2">
        <v>44776.176041666666</v>
      </c>
      <c r="E1159" s="3">
        <f t="shared" si="54"/>
        <v>44776</v>
      </c>
      <c r="F1159">
        <f t="shared" si="55"/>
        <v>8</v>
      </c>
      <c r="G1159" s="4">
        <f t="shared" si="56"/>
        <v>6.2833333353046328</v>
      </c>
      <c r="H1159">
        <f>IF(COUNTIFS(B$2:B1159,B1159,E$2:E1159,E1159)=1,1,0)</f>
        <v>1</v>
      </c>
      <c r="I1159">
        <f>IF(COUNTIFS(B$2:B1159,B1159,F$2:F1159,F1159)=1,1,0)</f>
        <v>0</v>
      </c>
    </row>
    <row r="1160" spans="1:9" x14ac:dyDescent="0.3">
      <c r="A1160">
        <v>1170</v>
      </c>
      <c r="B1160">
        <v>99</v>
      </c>
      <c r="C1160" s="2">
        <v>44776.370625000003</v>
      </c>
      <c r="D1160" s="2">
        <v>44776.37809027778</v>
      </c>
      <c r="E1160" s="3">
        <f t="shared" si="54"/>
        <v>44776</v>
      </c>
      <c r="F1160">
        <f t="shared" si="55"/>
        <v>8</v>
      </c>
      <c r="G1160" s="4">
        <f t="shared" si="56"/>
        <v>10.749999998370185</v>
      </c>
      <c r="H1160">
        <f>IF(COUNTIFS(B$2:B1160,B1160,E$2:E1160,E1160)=1,1,0)</f>
        <v>0</v>
      </c>
      <c r="I1160">
        <f>IF(COUNTIFS(B$2:B1160,B1160,F$2:F1160,F1160)=1,1,0)</f>
        <v>0</v>
      </c>
    </row>
    <row r="1161" spans="1:9" x14ac:dyDescent="0.3">
      <c r="A1161">
        <v>1171</v>
      </c>
      <c r="B1161">
        <v>99</v>
      </c>
      <c r="C1161" s="2">
        <v>44776.6174537037</v>
      </c>
      <c r="D1161" s="2">
        <v>44776.619444444441</v>
      </c>
      <c r="E1161" s="3">
        <f t="shared" si="54"/>
        <v>44776</v>
      </c>
      <c r="F1161">
        <f t="shared" si="55"/>
        <v>8</v>
      </c>
      <c r="G1161" s="4">
        <f t="shared" si="56"/>
        <v>2.8666666662320495</v>
      </c>
      <c r="H1161">
        <f>IF(COUNTIFS(B$2:B1161,B1161,E$2:E1161,E1161)=1,1,0)</f>
        <v>0</v>
      </c>
      <c r="I1161">
        <f>IF(COUNTIFS(B$2:B1161,B1161,F$2:F1161,F1161)=1,1,0)</f>
        <v>0</v>
      </c>
    </row>
    <row r="1162" spans="1:9" x14ac:dyDescent="0.3">
      <c r="A1162">
        <v>1172</v>
      </c>
      <c r="B1162">
        <v>99</v>
      </c>
      <c r="C1162" s="2">
        <v>44776.666655092595</v>
      </c>
      <c r="D1162" s="2">
        <v>44776.672268518516</v>
      </c>
      <c r="E1162" s="3">
        <f t="shared" si="54"/>
        <v>44776</v>
      </c>
      <c r="F1162">
        <f t="shared" si="55"/>
        <v>8</v>
      </c>
      <c r="G1162" s="4">
        <f t="shared" si="56"/>
        <v>8.0833333265036345</v>
      </c>
      <c r="H1162">
        <f>IF(COUNTIFS(B$2:B1162,B1162,E$2:E1162,E1162)=1,1,0)</f>
        <v>0</v>
      </c>
      <c r="I1162">
        <f>IF(COUNTIFS(B$2:B1162,B1162,F$2:F1162,F1162)=1,1,0)</f>
        <v>0</v>
      </c>
    </row>
    <row r="1163" spans="1:9" x14ac:dyDescent="0.3">
      <c r="A1163">
        <v>1173</v>
      </c>
      <c r="B1163">
        <v>100</v>
      </c>
      <c r="C1163" s="2">
        <v>44692.554155092592</v>
      </c>
      <c r="D1163" s="2">
        <v>44692.564293981479</v>
      </c>
      <c r="E1163" s="3">
        <f t="shared" si="54"/>
        <v>44692</v>
      </c>
      <c r="F1163">
        <f t="shared" si="55"/>
        <v>5</v>
      </c>
      <c r="G1163" s="4">
        <f t="shared" si="56"/>
        <v>14.599999997299165</v>
      </c>
      <c r="H1163">
        <f>IF(COUNTIFS(B$2:B1163,B1163,E$2:E1163,E1163)=1,1,0)</f>
        <v>1</v>
      </c>
      <c r="I1163">
        <f>IF(COUNTIFS(B$2:B1163,B1163,F$2:F1163,F1163)=1,1,0)</f>
        <v>1</v>
      </c>
    </row>
    <row r="1164" spans="1:9" x14ac:dyDescent="0.3">
      <c r="A1164">
        <v>1174</v>
      </c>
      <c r="B1164">
        <v>101</v>
      </c>
      <c r="C1164" s="2">
        <v>44890.149780092594</v>
      </c>
      <c r="D1164" s="2">
        <v>44890.155578703707</v>
      </c>
      <c r="E1164" s="3">
        <f t="shared" si="54"/>
        <v>44890</v>
      </c>
      <c r="F1164">
        <f t="shared" si="55"/>
        <v>11</v>
      </c>
      <c r="G1164" s="4">
        <f t="shared" si="56"/>
        <v>8.3500000031199306</v>
      </c>
      <c r="H1164">
        <f>IF(COUNTIFS(B$2:B1164,B1164,E$2:E1164,E1164)=1,1,0)</f>
        <v>1</v>
      </c>
      <c r="I1164">
        <f>IF(COUNTIFS(B$2:B1164,B1164,F$2:F1164,F1164)=1,1,0)</f>
        <v>1</v>
      </c>
    </row>
    <row r="1165" spans="1:9" x14ac:dyDescent="0.3">
      <c r="A1165">
        <v>1175</v>
      </c>
      <c r="B1165">
        <v>101</v>
      </c>
      <c r="C1165" s="2">
        <v>44890.248553240737</v>
      </c>
      <c r="D1165" s="2">
        <v>44890.256307870368</v>
      </c>
      <c r="E1165" s="3">
        <f t="shared" si="54"/>
        <v>44890</v>
      </c>
      <c r="F1165">
        <f t="shared" si="55"/>
        <v>11</v>
      </c>
      <c r="G1165" s="4">
        <f t="shared" si="56"/>
        <v>11.166666668141261</v>
      </c>
      <c r="H1165">
        <f>IF(COUNTIFS(B$2:B1165,B1165,E$2:E1165,E1165)=1,1,0)</f>
        <v>0</v>
      </c>
      <c r="I1165">
        <f>IF(COUNTIFS(B$2:B1165,B1165,F$2:F1165,F1165)=1,1,0)</f>
        <v>0</v>
      </c>
    </row>
    <row r="1166" spans="1:9" x14ac:dyDescent="0.3">
      <c r="A1166">
        <v>1176</v>
      </c>
      <c r="B1166">
        <v>101</v>
      </c>
      <c r="C1166" s="2">
        <v>44890.526296296295</v>
      </c>
      <c r="D1166" s="2">
        <v>44890.530509259261</v>
      </c>
      <c r="E1166" s="3">
        <f t="shared" si="54"/>
        <v>44890</v>
      </c>
      <c r="F1166">
        <f t="shared" si="55"/>
        <v>11</v>
      </c>
      <c r="G1166" s="4">
        <f t="shared" si="56"/>
        <v>6.0666666703764349</v>
      </c>
      <c r="H1166">
        <f>IF(COUNTIFS(B$2:B1166,B1166,E$2:E1166,E1166)=1,1,0)</f>
        <v>0</v>
      </c>
      <c r="I1166">
        <f>IF(COUNTIFS(B$2:B1166,B1166,F$2:F1166,F1166)=1,1,0)</f>
        <v>0</v>
      </c>
    </row>
    <row r="1167" spans="1:9" x14ac:dyDescent="0.3">
      <c r="A1167">
        <v>1177</v>
      </c>
      <c r="B1167">
        <v>101</v>
      </c>
      <c r="C1167" s="2">
        <v>44890.834062499998</v>
      </c>
      <c r="D1167" s="2">
        <v>44890.839444444442</v>
      </c>
      <c r="E1167" s="3">
        <f t="shared" si="54"/>
        <v>44890</v>
      </c>
      <c r="F1167">
        <f t="shared" si="55"/>
        <v>11</v>
      </c>
      <c r="G1167" s="4">
        <f t="shared" si="56"/>
        <v>7.7499999990686774</v>
      </c>
      <c r="H1167">
        <f>IF(COUNTIFS(B$2:B1167,B1167,E$2:E1167,E1167)=1,1,0)</f>
        <v>0</v>
      </c>
      <c r="I1167">
        <f>IF(COUNTIFS(B$2:B1167,B1167,F$2:F1167,F1167)=1,1,0)</f>
        <v>0</v>
      </c>
    </row>
    <row r="1168" spans="1:9" x14ac:dyDescent="0.3">
      <c r="A1168">
        <v>1178</v>
      </c>
      <c r="B1168">
        <v>101</v>
      </c>
      <c r="C1168" s="2">
        <v>44891.147997685184</v>
      </c>
      <c r="D1168" s="2">
        <v>44891.150509259256</v>
      </c>
      <c r="E1168" s="3">
        <f t="shared" si="54"/>
        <v>44891</v>
      </c>
      <c r="F1168">
        <f t="shared" si="55"/>
        <v>11</v>
      </c>
      <c r="G1168" s="4">
        <f t="shared" si="56"/>
        <v>3.6166666634380817</v>
      </c>
      <c r="H1168">
        <f>IF(COUNTIFS(B$2:B1168,B1168,E$2:E1168,E1168)=1,1,0)</f>
        <v>1</v>
      </c>
      <c r="I1168">
        <f>IF(COUNTIFS(B$2:B1168,B1168,F$2:F1168,F1168)=1,1,0)</f>
        <v>0</v>
      </c>
    </row>
    <row r="1169" spans="1:9" x14ac:dyDescent="0.3">
      <c r="A1169">
        <v>1179</v>
      </c>
      <c r="B1169">
        <v>101</v>
      </c>
      <c r="C1169" s="2">
        <v>44891.27753472222</v>
      </c>
      <c r="D1169" s="2">
        <v>44891.284942129627</v>
      </c>
      <c r="E1169" s="3">
        <f t="shared" si="54"/>
        <v>44891</v>
      </c>
      <c r="F1169">
        <f t="shared" si="55"/>
        <v>11</v>
      </c>
      <c r="G1169" s="4">
        <f t="shared" si="56"/>
        <v>10.666666666511446</v>
      </c>
      <c r="H1169">
        <f>IF(COUNTIFS(B$2:B1169,B1169,E$2:E1169,E1169)=1,1,0)</f>
        <v>0</v>
      </c>
      <c r="I1169">
        <f>IF(COUNTIFS(B$2:B1169,B1169,F$2:F1169,F1169)=1,1,0)</f>
        <v>0</v>
      </c>
    </row>
    <row r="1170" spans="1:9" x14ac:dyDescent="0.3">
      <c r="A1170">
        <v>1180</v>
      </c>
      <c r="B1170">
        <v>101</v>
      </c>
      <c r="C1170" s="2">
        <v>44891.426249999997</v>
      </c>
      <c r="D1170" s="2">
        <v>44891.434016203704</v>
      </c>
      <c r="E1170" s="3">
        <f t="shared" si="54"/>
        <v>44891</v>
      </c>
      <c r="F1170">
        <f t="shared" si="55"/>
        <v>11</v>
      </c>
      <c r="G1170" s="4">
        <f t="shared" si="56"/>
        <v>11.18333333870396</v>
      </c>
      <c r="H1170">
        <f>IF(COUNTIFS(B$2:B1170,B1170,E$2:E1170,E1170)=1,1,0)</f>
        <v>0</v>
      </c>
      <c r="I1170">
        <f>IF(COUNTIFS(B$2:B1170,B1170,F$2:F1170,F1170)=1,1,0)</f>
        <v>0</v>
      </c>
    </row>
    <row r="1171" spans="1:9" x14ac:dyDescent="0.3">
      <c r="A1171">
        <v>1181</v>
      </c>
      <c r="B1171">
        <v>101</v>
      </c>
      <c r="C1171" s="2">
        <v>44891.756006944444</v>
      </c>
      <c r="D1171" s="2">
        <v>44891.759375000001</v>
      </c>
      <c r="E1171" s="3">
        <f t="shared" si="54"/>
        <v>44891</v>
      </c>
      <c r="F1171">
        <f t="shared" si="55"/>
        <v>11</v>
      </c>
      <c r="G1171" s="4">
        <f t="shared" si="56"/>
        <v>4.8500000021886081</v>
      </c>
      <c r="H1171">
        <f>IF(COUNTIFS(B$2:B1171,B1171,E$2:E1171,E1171)=1,1,0)</f>
        <v>0</v>
      </c>
      <c r="I1171">
        <f>IF(COUNTIFS(B$2:B1171,B1171,F$2:F1171,F1171)=1,1,0)</f>
        <v>0</v>
      </c>
    </row>
    <row r="1172" spans="1:9" x14ac:dyDescent="0.3">
      <c r="A1172">
        <v>1182</v>
      </c>
      <c r="B1172">
        <v>101</v>
      </c>
      <c r="C1172" s="2">
        <v>44891.960868055554</v>
      </c>
      <c r="D1172" s="2">
        <v>44891.969201388885</v>
      </c>
      <c r="E1172" s="3">
        <f t="shared" si="54"/>
        <v>44891</v>
      </c>
      <c r="F1172">
        <f t="shared" si="55"/>
        <v>11</v>
      </c>
      <c r="G1172" s="4">
        <f t="shared" si="56"/>
        <v>11.999999997206032</v>
      </c>
      <c r="H1172">
        <f>IF(COUNTIFS(B$2:B1172,B1172,E$2:E1172,E1172)=1,1,0)</f>
        <v>0</v>
      </c>
      <c r="I1172">
        <f>IF(COUNTIFS(B$2:B1172,B1172,F$2:F1172,F1172)=1,1,0)</f>
        <v>0</v>
      </c>
    </row>
    <row r="1173" spans="1:9" x14ac:dyDescent="0.3">
      <c r="A1173">
        <v>1183</v>
      </c>
      <c r="B1173">
        <v>101</v>
      </c>
      <c r="C1173" s="2">
        <v>44892.204745370371</v>
      </c>
      <c r="D1173" s="2">
        <v>44892.210578703707</v>
      </c>
      <c r="E1173" s="3">
        <f t="shared" si="54"/>
        <v>44892</v>
      </c>
      <c r="F1173">
        <f t="shared" si="55"/>
        <v>11</v>
      </c>
      <c r="G1173" s="4">
        <f t="shared" si="56"/>
        <v>8.40000000433065</v>
      </c>
      <c r="H1173">
        <f>IF(COUNTIFS(B$2:B1173,B1173,E$2:E1173,E1173)=1,1,0)</f>
        <v>1</v>
      </c>
      <c r="I1173">
        <f>IF(COUNTIFS(B$2:B1173,B1173,F$2:F1173,F1173)=1,1,0)</f>
        <v>0</v>
      </c>
    </row>
    <row r="1174" spans="1:9" x14ac:dyDescent="0.3">
      <c r="A1174">
        <v>1184</v>
      </c>
      <c r="B1174">
        <v>101</v>
      </c>
      <c r="C1174" s="2">
        <v>44892.485879629632</v>
      </c>
      <c r="D1174" s="2">
        <v>44892.49114583333</v>
      </c>
      <c r="E1174" s="3">
        <f t="shared" si="54"/>
        <v>44892</v>
      </c>
      <c r="F1174">
        <f t="shared" si="55"/>
        <v>11</v>
      </c>
      <c r="G1174" s="4">
        <f t="shared" si="56"/>
        <v>7.5833333248738199</v>
      </c>
      <c r="H1174">
        <f>IF(COUNTIFS(B$2:B1174,B1174,E$2:E1174,E1174)=1,1,0)</f>
        <v>0</v>
      </c>
      <c r="I1174">
        <f>IF(COUNTIFS(B$2:B1174,B1174,F$2:F1174,F1174)=1,1,0)</f>
        <v>0</v>
      </c>
    </row>
    <row r="1175" spans="1:9" x14ac:dyDescent="0.3">
      <c r="A1175">
        <v>1185</v>
      </c>
      <c r="B1175">
        <v>102</v>
      </c>
      <c r="C1175" s="2">
        <v>44618.283726851849</v>
      </c>
      <c r="D1175" s="2">
        <v>44618.290960648148</v>
      </c>
      <c r="E1175" s="3">
        <f t="shared" si="54"/>
        <v>44618</v>
      </c>
      <c r="F1175">
        <f t="shared" si="55"/>
        <v>2</v>
      </c>
      <c r="G1175" s="4">
        <f t="shared" si="56"/>
        <v>10.416666670935228</v>
      </c>
      <c r="H1175">
        <f>IF(COUNTIFS(B$2:B1175,B1175,E$2:E1175,E1175)=1,1,0)</f>
        <v>1</v>
      </c>
      <c r="I1175">
        <f>IF(COUNTIFS(B$2:B1175,B1175,F$2:F1175,F1175)=1,1,0)</f>
        <v>1</v>
      </c>
    </row>
    <row r="1176" spans="1:9" x14ac:dyDescent="0.3">
      <c r="A1176">
        <v>1186</v>
      </c>
      <c r="B1176">
        <v>103</v>
      </c>
      <c r="C1176" s="2">
        <v>44875.305960648147</v>
      </c>
      <c r="D1176" s="2">
        <v>44875.312291666669</v>
      </c>
      <c r="E1176" s="3">
        <f t="shared" si="54"/>
        <v>44875</v>
      </c>
      <c r="F1176">
        <f t="shared" si="55"/>
        <v>11</v>
      </c>
      <c r="G1176" s="4">
        <f t="shared" si="56"/>
        <v>9.1166666708886623</v>
      </c>
      <c r="H1176">
        <f>IF(COUNTIFS(B$2:B1176,B1176,E$2:E1176,E1176)=1,1,0)</f>
        <v>1</v>
      </c>
      <c r="I1176">
        <f>IF(COUNTIFS(B$2:B1176,B1176,F$2:F1176,F1176)=1,1,0)</f>
        <v>1</v>
      </c>
    </row>
    <row r="1177" spans="1:9" x14ac:dyDescent="0.3">
      <c r="A1177">
        <v>1187</v>
      </c>
      <c r="B1177">
        <v>103</v>
      </c>
      <c r="C1177" s="2">
        <v>44875.561342592591</v>
      </c>
      <c r="D1177" s="2">
        <v>44875.567523148151</v>
      </c>
      <c r="E1177" s="3">
        <f t="shared" si="54"/>
        <v>44875</v>
      </c>
      <c r="F1177">
        <f t="shared" si="55"/>
        <v>11</v>
      </c>
      <c r="G1177" s="4">
        <f t="shared" si="56"/>
        <v>8.9000000059604645</v>
      </c>
      <c r="H1177">
        <f>IF(COUNTIFS(B$2:B1177,B1177,E$2:E1177,E1177)=1,1,0)</f>
        <v>0</v>
      </c>
      <c r="I1177">
        <f>IF(COUNTIFS(B$2:B1177,B1177,F$2:F1177,F1177)=1,1,0)</f>
        <v>0</v>
      </c>
    </row>
    <row r="1178" spans="1:9" x14ac:dyDescent="0.3">
      <c r="A1178">
        <v>1188</v>
      </c>
      <c r="B1178">
        <v>103</v>
      </c>
      <c r="C1178" s="2">
        <v>44875.711678240739</v>
      </c>
      <c r="D1178" s="2">
        <v>44875.722997685189</v>
      </c>
      <c r="E1178" s="3">
        <f t="shared" si="54"/>
        <v>44875</v>
      </c>
      <c r="F1178">
        <f t="shared" si="55"/>
        <v>11</v>
      </c>
      <c r="G1178" s="4">
        <f t="shared" si="56"/>
        <v>16.300000007031485</v>
      </c>
      <c r="H1178">
        <f>IF(COUNTIFS(B$2:B1178,B1178,E$2:E1178,E1178)=1,1,0)</f>
        <v>0</v>
      </c>
      <c r="I1178">
        <f>IF(COUNTIFS(B$2:B1178,B1178,F$2:F1178,F1178)=1,1,0)</f>
        <v>0</v>
      </c>
    </row>
    <row r="1179" spans="1:9" x14ac:dyDescent="0.3">
      <c r="A1179">
        <v>1189</v>
      </c>
      <c r="B1179">
        <v>103</v>
      </c>
      <c r="C1179" s="2">
        <v>44875.906122685185</v>
      </c>
      <c r="D1179" s="2">
        <v>44875.914363425924</v>
      </c>
      <c r="E1179" s="3">
        <f t="shared" si="54"/>
        <v>44875</v>
      </c>
      <c r="F1179">
        <f t="shared" si="55"/>
        <v>11</v>
      </c>
      <c r="G1179" s="4">
        <f t="shared" si="56"/>
        <v>11.866666664136574</v>
      </c>
      <c r="H1179">
        <f>IF(COUNTIFS(B$2:B1179,B1179,E$2:E1179,E1179)=1,1,0)</f>
        <v>0</v>
      </c>
      <c r="I1179">
        <f>IF(COUNTIFS(B$2:B1179,B1179,F$2:F1179,F1179)=1,1,0)</f>
        <v>0</v>
      </c>
    </row>
    <row r="1180" spans="1:9" x14ac:dyDescent="0.3">
      <c r="A1180">
        <v>1190</v>
      </c>
      <c r="B1180">
        <v>104</v>
      </c>
      <c r="C1180" s="2">
        <v>44675.47246527778</v>
      </c>
      <c r="D1180" s="2">
        <v>44675.477268518516</v>
      </c>
      <c r="E1180" s="3">
        <f t="shared" si="54"/>
        <v>44675</v>
      </c>
      <c r="F1180">
        <f t="shared" si="55"/>
        <v>4</v>
      </c>
      <c r="G1180" s="4">
        <f t="shared" si="56"/>
        <v>6.9166666595265269</v>
      </c>
      <c r="H1180">
        <f>IF(COUNTIFS(B$2:B1180,B1180,E$2:E1180,E1180)=1,1,0)</f>
        <v>1</v>
      </c>
      <c r="I1180">
        <f>IF(COUNTIFS(B$2:B1180,B1180,F$2:F1180,F1180)=1,1,0)</f>
        <v>1</v>
      </c>
    </row>
    <row r="1181" spans="1:9" x14ac:dyDescent="0.3">
      <c r="A1181">
        <v>1191</v>
      </c>
      <c r="B1181">
        <v>105</v>
      </c>
      <c r="C1181" s="2">
        <v>44666.575428240743</v>
      </c>
      <c r="D1181" s="2">
        <v>44666.583148148151</v>
      </c>
      <c r="E1181" s="3">
        <f t="shared" si="54"/>
        <v>44666</v>
      </c>
      <c r="F1181">
        <f t="shared" si="55"/>
        <v>4</v>
      </c>
      <c r="G1181" s="4">
        <f t="shared" si="56"/>
        <v>11.116666666930541</v>
      </c>
      <c r="H1181">
        <f>IF(COUNTIFS(B$2:B1181,B1181,E$2:E1181,E1181)=1,1,0)</f>
        <v>1</v>
      </c>
      <c r="I1181">
        <f>IF(COUNTIFS(B$2:B1181,B1181,F$2:F1181,F1181)=1,1,0)</f>
        <v>1</v>
      </c>
    </row>
    <row r="1182" spans="1:9" x14ac:dyDescent="0.3">
      <c r="A1182">
        <v>1192</v>
      </c>
      <c r="B1182">
        <v>105</v>
      </c>
      <c r="C1182" s="2">
        <v>44666.800196759257</v>
      </c>
      <c r="D1182" s="2">
        <v>44666.80369212963</v>
      </c>
      <c r="E1182" s="3">
        <f t="shared" si="54"/>
        <v>44666</v>
      </c>
      <c r="F1182">
        <f t="shared" si="55"/>
        <v>4</v>
      </c>
      <c r="G1182" s="4">
        <f t="shared" si="56"/>
        <v>5.033333336468786</v>
      </c>
      <c r="H1182">
        <f>IF(COUNTIFS(B$2:B1182,B1182,E$2:E1182,E1182)=1,1,0)</f>
        <v>0</v>
      </c>
      <c r="I1182">
        <f>IF(COUNTIFS(B$2:B1182,B1182,F$2:F1182,F1182)=1,1,0)</f>
        <v>0</v>
      </c>
    </row>
    <row r="1183" spans="1:9" x14ac:dyDescent="0.3">
      <c r="A1183">
        <v>1193</v>
      </c>
      <c r="B1183">
        <v>105</v>
      </c>
      <c r="C1183" s="2">
        <v>44666.976759259262</v>
      </c>
      <c r="D1183" s="2">
        <v>44666.984837962962</v>
      </c>
      <c r="E1183" s="3">
        <f t="shared" si="54"/>
        <v>44666</v>
      </c>
      <c r="F1183">
        <f t="shared" si="55"/>
        <v>4</v>
      </c>
      <c r="G1183" s="4">
        <f t="shared" si="56"/>
        <v>11.633333328645676</v>
      </c>
      <c r="H1183">
        <f>IF(COUNTIFS(B$2:B1183,B1183,E$2:E1183,E1183)=1,1,0)</f>
        <v>0</v>
      </c>
      <c r="I1183">
        <f>IF(COUNTIFS(B$2:B1183,B1183,F$2:F1183,F1183)=1,1,0)</f>
        <v>0</v>
      </c>
    </row>
    <row r="1184" spans="1:9" x14ac:dyDescent="0.3">
      <c r="A1184">
        <v>1194</v>
      </c>
      <c r="B1184">
        <v>106</v>
      </c>
      <c r="C1184" s="2">
        <v>44617.913298611114</v>
      </c>
      <c r="D1184" s="2">
        <v>44617.923738425925</v>
      </c>
      <c r="E1184" s="3">
        <f t="shared" si="54"/>
        <v>44617</v>
      </c>
      <c r="F1184">
        <f t="shared" si="55"/>
        <v>2</v>
      </c>
      <c r="G1184" s="4">
        <f t="shared" si="56"/>
        <v>15.03333332715556</v>
      </c>
      <c r="H1184">
        <f>IF(COUNTIFS(B$2:B1184,B1184,E$2:E1184,E1184)=1,1,0)</f>
        <v>1</v>
      </c>
      <c r="I1184">
        <f>IF(COUNTIFS(B$2:B1184,B1184,F$2:F1184,F1184)=1,1,0)</f>
        <v>1</v>
      </c>
    </row>
    <row r="1185" spans="1:9" x14ac:dyDescent="0.3">
      <c r="A1185">
        <v>1195</v>
      </c>
      <c r="B1185">
        <v>106</v>
      </c>
      <c r="C1185" s="2">
        <v>44617.99554398148</v>
      </c>
      <c r="D1185" s="2">
        <v>44617.999710648146</v>
      </c>
      <c r="E1185" s="3">
        <f t="shared" si="54"/>
        <v>44617</v>
      </c>
      <c r="F1185">
        <f t="shared" si="55"/>
        <v>2</v>
      </c>
      <c r="G1185" s="4">
        <f t="shared" si="56"/>
        <v>5.9999999986030161</v>
      </c>
      <c r="H1185">
        <f>IF(COUNTIFS(B$2:B1185,B1185,E$2:E1185,E1185)=1,1,0)</f>
        <v>0</v>
      </c>
      <c r="I1185">
        <f>IF(COUNTIFS(B$2:B1185,B1185,F$2:F1185,F1185)=1,1,0)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E4C0-D7B7-41AD-857F-8498F1D685DD}">
  <dimension ref="A1:G119"/>
  <sheetViews>
    <sheetView workbookViewId="0">
      <selection activeCell="F11" sqref="F11"/>
    </sheetView>
  </sheetViews>
  <sheetFormatPr baseColWidth="10" defaultRowHeight="14.4" x14ac:dyDescent="0.3"/>
  <cols>
    <col min="1" max="1" width="10.44140625" bestFit="1" customWidth="1"/>
    <col min="2" max="2" width="6.6640625" bestFit="1" customWidth="1"/>
    <col min="3" max="3" width="17.88671875" bestFit="1" customWidth="1"/>
    <col min="4" max="4" width="9.21875" bestFit="1" customWidth="1"/>
    <col min="5" max="5" width="6" bestFit="1" customWidth="1"/>
    <col min="6" max="6" width="6.5546875" bestFit="1" customWidth="1"/>
    <col min="7" max="7" width="6.109375" bestFit="1" customWidth="1"/>
  </cols>
  <sheetData>
    <row r="1" spans="1:7" x14ac:dyDescent="0.3">
      <c r="A1" s="1" t="s">
        <v>130</v>
      </c>
      <c r="B1" s="1" t="s">
        <v>0</v>
      </c>
      <c r="C1" s="1" t="s">
        <v>131</v>
      </c>
      <c r="D1" s="1" t="s">
        <v>124</v>
      </c>
      <c r="E1" s="1" t="s">
        <v>1</v>
      </c>
      <c r="F1" s="1" t="s">
        <v>2</v>
      </c>
      <c r="G1" s="1" t="s">
        <v>128</v>
      </c>
    </row>
    <row r="2" spans="1:7" x14ac:dyDescent="0.3">
      <c r="A2">
        <v>19</v>
      </c>
      <c r="B2">
        <v>3</v>
      </c>
      <c r="C2" s="2">
        <v>44744.380520833336</v>
      </c>
      <c r="D2">
        <v>29</v>
      </c>
      <c r="E2">
        <f>VLOOKUP(B2,Items!$A:$B,2,FALSE)</f>
        <v>4.99</v>
      </c>
      <c r="F2">
        <f>VLOOKUP(D2,Sessions!$A:$B,2,FALSE)</f>
        <v>8</v>
      </c>
      <c r="G2">
        <f t="shared" ref="G2:G33" si="0">MONTH(C2)</f>
        <v>7</v>
      </c>
    </row>
    <row r="3" spans="1:7" x14ac:dyDescent="0.3">
      <c r="A3">
        <v>20</v>
      </c>
      <c r="B3">
        <v>1</v>
      </c>
      <c r="C3" s="2">
        <v>44745.922361111108</v>
      </c>
      <c r="D3">
        <v>38</v>
      </c>
      <c r="E3">
        <f>VLOOKUP(B3,Items!$A:$B,2,FALSE)</f>
        <v>0.99</v>
      </c>
      <c r="F3">
        <f>VLOOKUP(D3,Sessions!$A:$B,2,FALSE)</f>
        <v>8</v>
      </c>
      <c r="G3">
        <f t="shared" si="0"/>
        <v>7</v>
      </c>
    </row>
    <row r="4" spans="1:7" x14ac:dyDescent="0.3">
      <c r="A4">
        <v>21</v>
      </c>
      <c r="B4">
        <v>1</v>
      </c>
      <c r="C4" s="2">
        <v>44721.015162037038</v>
      </c>
      <c r="D4">
        <v>40</v>
      </c>
      <c r="E4">
        <f>VLOOKUP(B4,Items!$A:$B,2,FALSE)</f>
        <v>0.99</v>
      </c>
      <c r="F4">
        <f>VLOOKUP(D4,Sessions!$A:$B,2,FALSE)</f>
        <v>9</v>
      </c>
      <c r="G4">
        <f t="shared" si="0"/>
        <v>6</v>
      </c>
    </row>
    <row r="5" spans="1:7" x14ac:dyDescent="0.3">
      <c r="A5">
        <v>22</v>
      </c>
      <c r="B5">
        <v>3</v>
      </c>
      <c r="C5" s="2">
        <v>44722.338287037041</v>
      </c>
      <c r="D5">
        <v>46</v>
      </c>
      <c r="E5">
        <f>VLOOKUP(B5,Items!$A:$B,2,FALSE)</f>
        <v>4.99</v>
      </c>
      <c r="F5">
        <f>VLOOKUP(D5,Sessions!$A:$B,2,FALSE)</f>
        <v>9</v>
      </c>
      <c r="G5">
        <f t="shared" si="0"/>
        <v>6</v>
      </c>
    </row>
    <row r="6" spans="1:7" x14ac:dyDescent="0.3">
      <c r="A6">
        <v>23</v>
      </c>
      <c r="B6">
        <v>2</v>
      </c>
      <c r="C6" s="2">
        <v>44723.694027777776</v>
      </c>
      <c r="D6">
        <v>52</v>
      </c>
      <c r="E6">
        <f>VLOOKUP(B6,Items!$A:$B,2,FALSE)</f>
        <v>2.99</v>
      </c>
      <c r="F6">
        <f>VLOOKUP(D6,Sessions!$A:$B,2,FALSE)</f>
        <v>9</v>
      </c>
      <c r="G6">
        <f t="shared" si="0"/>
        <v>6</v>
      </c>
    </row>
    <row r="7" spans="1:7" x14ac:dyDescent="0.3">
      <c r="A7">
        <v>24</v>
      </c>
      <c r="B7">
        <v>1</v>
      </c>
      <c r="C7" s="2">
        <v>44924.345081018517</v>
      </c>
      <c r="D7">
        <v>62</v>
      </c>
      <c r="E7">
        <f>VLOOKUP(B7,Items!$A:$B,2,FALSE)</f>
        <v>0.99</v>
      </c>
      <c r="F7">
        <f>VLOOKUP(D7,Sessions!$A:$B,2,FALSE)</f>
        <v>11</v>
      </c>
      <c r="G7">
        <f t="shared" si="0"/>
        <v>12</v>
      </c>
    </row>
    <row r="8" spans="1:7" x14ac:dyDescent="0.3">
      <c r="A8">
        <v>25</v>
      </c>
      <c r="B8">
        <v>1</v>
      </c>
      <c r="C8" s="2">
        <v>44924.528298611112</v>
      </c>
      <c r="D8">
        <v>63</v>
      </c>
      <c r="E8">
        <f>VLOOKUP(B8,Items!$A:$B,2,FALSE)</f>
        <v>0.99</v>
      </c>
      <c r="F8">
        <f>VLOOKUP(D8,Sessions!$A:$B,2,FALSE)</f>
        <v>11</v>
      </c>
      <c r="G8">
        <f t="shared" si="0"/>
        <v>12</v>
      </c>
    </row>
    <row r="9" spans="1:7" x14ac:dyDescent="0.3">
      <c r="A9">
        <v>26</v>
      </c>
      <c r="B9">
        <v>1</v>
      </c>
      <c r="C9" s="2">
        <v>44733.649317129632</v>
      </c>
      <c r="D9">
        <v>66</v>
      </c>
      <c r="E9">
        <f>VLOOKUP(B9,Items!$A:$B,2,FALSE)</f>
        <v>0.99</v>
      </c>
      <c r="F9">
        <f>VLOOKUP(D9,Sessions!$A:$B,2,FALSE)</f>
        <v>12</v>
      </c>
      <c r="G9">
        <f t="shared" si="0"/>
        <v>6</v>
      </c>
    </row>
    <row r="10" spans="1:7" x14ac:dyDescent="0.3">
      <c r="A10">
        <v>27</v>
      </c>
      <c r="B10">
        <v>2</v>
      </c>
      <c r="C10" s="2">
        <v>44887.813715277778</v>
      </c>
      <c r="D10">
        <v>98</v>
      </c>
      <c r="E10">
        <f>VLOOKUP(B10,Items!$A:$B,2,FALSE)</f>
        <v>2.99</v>
      </c>
      <c r="F10">
        <f>VLOOKUP(D10,Sessions!$A:$B,2,FALSE)</f>
        <v>19</v>
      </c>
      <c r="G10">
        <f t="shared" si="0"/>
        <v>11</v>
      </c>
    </row>
    <row r="11" spans="1:7" x14ac:dyDescent="0.3">
      <c r="A11">
        <v>28</v>
      </c>
      <c r="B11">
        <v>2</v>
      </c>
      <c r="C11" s="2">
        <v>44888.293287037035</v>
      </c>
      <c r="D11">
        <v>100</v>
      </c>
      <c r="E11">
        <f>VLOOKUP(B11,Items!$A:$B,2,FALSE)</f>
        <v>2.99</v>
      </c>
      <c r="F11">
        <f>VLOOKUP(D11,Sessions!$A:$B,2,FALSE)</f>
        <v>19</v>
      </c>
      <c r="G11">
        <f t="shared" si="0"/>
        <v>11</v>
      </c>
    </row>
    <row r="12" spans="1:7" x14ac:dyDescent="0.3">
      <c r="A12">
        <v>29</v>
      </c>
      <c r="B12">
        <v>1</v>
      </c>
      <c r="C12" s="2">
        <v>44750.833148148151</v>
      </c>
      <c r="D12">
        <v>115</v>
      </c>
      <c r="E12">
        <f>VLOOKUP(B12,Items!$A:$B,2,FALSE)</f>
        <v>0.99</v>
      </c>
      <c r="F12">
        <f>VLOOKUP(D12,Sessions!$A:$B,2,FALSE)</f>
        <v>20</v>
      </c>
      <c r="G12">
        <f t="shared" si="0"/>
        <v>7</v>
      </c>
    </row>
    <row r="13" spans="1:7" x14ac:dyDescent="0.3">
      <c r="A13">
        <v>30</v>
      </c>
      <c r="B13">
        <v>1</v>
      </c>
      <c r="C13" s="2">
        <v>44751.446273148147</v>
      </c>
      <c r="D13">
        <v>120</v>
      </c>
      <c r="E13">
        <f>VLOOKUP(B13,Items!$A:$B,2,FALSE)</f>
        <v>0.99</v>
      </c>
      <c r="F13">
        <f>VLOOKUP(D13,Sessions!$A:$B,2,FALSE)</f>
        <v>20</v>
      </c>
      <c r="G13">
        <f t="shared" si="0"/>
        <v>7</v>
      </c>
    </row>
    <row r="14" spans="1:7" x14ac:dyDescent="0.3">
      <c r="A14">
        <v>31</v>
      </c>
      <c r="B14">
        <v>1</v>
      </c>
      <c r="C14" s="2">
        <v>44753.769305555557</v>
      </c>
      <c r="D14">
        <v>133</v>
      </c>
      <c r="E14">
        <f>VLOOKUP(B14,Items!$A:$B,2,FALSE)</f>
        <v>0.99</v>
      </c>
      <c r="F14">
        <f>VLOOKUP(D14,Sessions!$A:$B,2,FALSE)</f>
        <v>20</v>
      </c>
      <c r="G14">
        <f t="shared" si="0"/>
        <v>7</v>
      </c>
    </row>
    <row r="15" spans="1:7" x14ac:dyDescent="0.3">
      <c r="A15">
        <v>32</v>
      </c>
      <c r="B15">
        <v>1</v>
      </c>
      <c r="C15" s="2">
        <v>44687.313946759263</v>
      </c>
      <c r="D15">
        <v>187</v>
      </c>
      <c r="E15">
        <f>VLOOKUP(B15,Items!$A:$B,2,FALSE)</f>
        <v>0.99</v>
      </c>
      <c r="F15">
        <f>VLOOKUP(D15,Sessions!$A:$B,2,FALSE)</f>
        <v>24</v>
      </c>
      <c r="G15">
        <f t="shared" si="0"/>
        <v>5</v>
      </c>
    </row>
    <row r="16" spans="1:7" x14ac:dyDescent="0.3">
      <c r="A16">
        <v>33</v>
      </c>
      <c r="B16">
        <v>1</v>
      </c>
      <c r="C16" s="2">
        <v>44805.140092592592</v>
      </c>
      <c r="D16">
        <v>193</v>
      </c>
      <c r="E16">
        <f>VLOOKUP(B16,Items!$A:$B,2,FALSE)</f>
        <v>0.99</v>
      </c>
      <c r="F16">
        <f>VLOOKUP(D16,Sessions!$A:$B,2,FALSE)</f>
        <v>26</v>
      </c>
      <c r="G16">
        <f t="shared" si="0"/>
        <v>9</v>
      </c>
    </row>
    <row r="17" spans="1:7" x14ac:dyDescent="0.3">
      <c r="A17">
        <v>34</v>
      </c>
      <c r="B17">
        <v>1</v>
      </c>
      <c r="C17" s="2">
        <v>44804.689849537041</v>
      </c>
      <c r="D17">
        <v>205</v>
      </c>
      <c r="E17">
        <f>VLOOKUP(B17,Items!$A:$B,2,FALSE)</f>
        <v>0.99</v>
      </c>
      <c r="F17">
        <f>VLOOKUP(D17,Sessions!$A:$B,2,FALSE)</f>
        <v>27</v>
      </c>
      <c r="G17">
        <f t="shared" si="0"/>
        <v>8</v>
      </c>
    </row>
    <row r="18" spans="1:7" x14ac:dyDescent="0.3">
      <c r="A18">
        <v>35</v>
      </c>
      <c r="B18">
        <v>2</v>
      </c>
      <c r="C18" s="2">
        <v>44805.434212962966</v>
      </c>
      <c r="D18">
        <v>209</v>
      </c>
      <c r="E18">
        <f>VLOOKUP(B18,Items!$A:$B,2,FALSE)</f>
        <v>2.99</v>
      </c>
      <c r="F18">
        <f>VLOOKUP(D18,Sessions!$A:$B,2,FALSE)</f>
        <v>27</v>
      </c>
      <c r="G18">
        <f t="shared" si="0"/>
        <v>9</v>
      </c>
    </row>
    <row r="19" spans="1:7" x14ac:dyDescent="0.3">
      <c r="A19">
        <v>36</v>
      </c>
      <c r="B19">
        <v>3</v>
      </c>
      <c r="C19" s="2">
        <v>44830.618854166663</v>
      </c>
      <c r="D19">
        <v>228</v>
      </c>
      <c r="E19">
        <f>VLOOKUP(B19,Items!$A:$B,2,FALSE)</f>
        <v>4.99</v>
      </c>
      <c r="F19">
        <f>VLOOKUP(D19,Sessions!$A:$B,2,FALSE)</f>
        <v>29</v>
      </c>
      <c r="G19">
        <f t="shared" si="0"/>
        <v>9</v>
      </c>
    </row>
    <row r="20" spans="1:7" x14ac:dyDescent="0.3">
      <c r="A20">
        <v>37</v>
      </c>
      <c r="B20">
        <v>2</v>
      </c>
      <c r="C20" s="2">
        <v>44831.800983796296</v>
      </c>
      <c r="D20">
        <v>234</v>
      </c>
      <c r="E20">
        <f>VLOOKUP(B20,Items!$A:$B,2,FALSE)</f>
        <v>2.99</v>
      </c>
      <c r="F20">
        <f>VLOOKUP(D20,Sessions!$A:$B,2,FALSE)</f>
        <v>29</v>
      </c>
      <c r="G20">
        <f t="shared" si="0"/>
        <v>9</v>
      </c>
    </row>
    <row r="21" spans="1:7" x14ac:dyDescent="0.3">
      <c r="A21">
        <v>38</v>
      </c>
      <c r="B21">
        <v>3</v>
      </c>
      <c r="C21" s="2">
        <v>44622.987013888887</v>
      </c>
      <c r="D21">
        <v>236</v>
      </c>
      <c r="E21">
        <f>VLOOKUP(B21,Items!$A:$B,2,FALSE)</f>
        <v>4.99</v>
      </c>
      <c r="F21">
        <f>VLOOKUP(D21,Sessions!$A:$B,2,FALSE)</f>
        <v>30</v>
      </c>
      <c r="G21">
        <f t="shared" si="0"/>
        <v>3</v>
      </c>
    </row>
    <row r="22" spans="1:7" x14ac:dyDescent="0.3">
      <c r="A22">
        <v>39</v>
      </c>
      <c r="B22">
        <v>1</v>
      </c>
      <c r="C22" s="2">
        <v>44721.190474537034</v>
      </c>
      <c r="D22">
        <v>262</v>
      </c>
      <c r="E22">
        <f>VLOOKUP(B22,Items!$A:$B,2,FALSE)</f>
        <v>0.99</v>
      </c>
      <c r="F22">
        <f>VLOOKUP(D22,Sessions!$A:$B,2,FALSE)</f>
        <v>35</v>
      </c>
      <c r="G22">
        <f t="shared" si="0"/>
        <v>6</v>
      </c>
    </row>
    <row r="23" spans="1:7" x14ac:dyDescent="0.3">
      <c r="A23">
        <v>40</v>
      </c>
      <c r="B23">
        <v>1</v>
      </c>
      <c r="C23" s="2">
        <v>44887.558969907404</v>
      </c>
      <c r="D23">
        <v>277</v>
      </c>
      <c r="E23">
        <f>VLOOKUP(B23,Items!$A:$B,2,FALSE)</f>
        <v>0.99</v>
      </c>
      <c r="F23">
        <f>VLOOKUP(D23,Sessions!$A:$B,2,FALSE)</f>
        <v>36</v>
      </c>
      <c r="G23">
        <f t="shared" si="0"/>
        <v>11</v>
      </c>
    </row>
    <row r="24" spans="1:7" x14ac:dyDescent="0.3">
      <c r="A24">
        <v>41</v>
      </c>
      <c r="B24">
        <v>1</v>
      </c>
      <c r="C24" s="2">
        <v>44890.975173611114</v>
      </c>
      <c r="D24">
        <v>297</v>
      </c>
      <c r="E24">
        <f>VLOOKUP(B24,Items!$A:$B,2,FALSE)</f>
        <v>0.99</v>
      </c>
      <c r="F24">
        <f>VLOOKUP(D24,Sessions!$A:$B,2,FALSE)</f>
        <v>36</v>
      </c>
      <c r="G24">
        <f t="shared" si="0"/>
        <v>11</v>
      </c>
    </row>
    <row r="25" spans="1:7" x14ac:dyDescent="0.3">
      <c r="A25">
        <v>42</v>
      </c>
      <c r="B25">
        <v>1</v>
      </c>
      <c r="C25" s="2">
        <v>44667.617071759261</v>
      </c>
      <c r="D25">
        <v>303</v>
      </c>
      <c r="E25">
        <f>VLOOKUP(B25,Items!$A:$B,2,FALSE)</f>
        <v>0.99</v>
      </c>
      <c r="F25">
        <f>VLOOKUP(D25,Sessions!$A:$B,2,FALSE)</f>
        <v>38</v>
      </c>
      <c r="G25">
        <f t="shared" si="0"/>
        <v>4</v>
      </c>
    </row>
    <row r="26" spans="1:7" x14ac:dyDescent="0.3">
      <c r="A26">
        <v>43</v>
      </c>
      <c r="B26">
        <v>2</v>
      </c>
      <c r="C26" s="2">
        <v>44603.577731481484</v>
      </c>
      <c r="D26">
        <v>307</v>
      </c>
      <c r="E26">
        <f>VLOOKUP(B26,Items!$A:$B,2,FALSE)</f>
        <v>2.99</v>
      </c>
      <c r="F26">
        <f>VLOOKUP(D26,Sessions!$A:$B,2,FALSE)</f>
        <v>40</v>
      </c>
      <c r="G26">
        <f t="shared" si="0"/>
        <v>2</v>
      </c>
    </row>
    <row r="27" spans="1:7" x14ac:dyDescent="0.3">
      <c r="A27">
        <v>44</v>
      </c>
      <c r="B27">
        <v>1</v>
      </c>
      <c r="C27" s="2">
        <v>44678.189652777779</v>
      </c>
      <c r="D27">
        <v>312</v>
      </c>
      <c r="E27">
        <f>VLOOKUP(B27,Items!$A:$B,2,FALSE)</f>
        <v>0.99</v>
      </c>
      <c r="F27">
        <f>VLOOKUP(D27,Sessions!$A:$B,2,FALSE)</f>
        <v>41</v>
      </c>
      <c r="G27">
        <f t="shared" si="0"/>
        <v>4</v>
      </c>
    </row>
    <row r="28" spans="1:7" x14ac:dyDescent="0.3">
      <c r="A28">
        <v>45</v>
      </c>
      <c r="B28">
        <v>1</v>
      </c>
      <c r="C28" s="2">
        <v>44678.484189814815</v>
      </c>
      <c r="D28">
        <v>313</v>
      </c>
      <c r="E28">
        <f>VLOOKUP(B28,Items!$A:$B,2,FALSE)</f>
        <v>0.99</v>
      </c>
      <c r="F28">
        <f>VLOOKUP(D28,Sessions!$A:$B,2,FALSE)</f>
        <v>41</v>
      </c>
      <c r="G28">
        <f t="shared" si="0"/>
        <v>4</v>
      </c>
    </row>
    <row r="29" spans="1:7" x14ac:dyDescent="0.3">
      <c r="A29">
        <v>46</v>
      </c>
      <c r="B29">
        <v>1</v>
      </c>
      <c r="C29" s="2">
        <v>44853.844537037039</v>
      </c>
      <c r="D29">
        <v>332</v>
      </c>
      <c r="E29">
        <f>VLOOKUP(B29,Items!$A:$B,2,FALSE)</f>
        <v>0.99</v>
      </c>
      <c r="F29">
        <f>VLOOKUP(D29,Sessions!$A:$B,2,FALSE)</f>
        <v>43</v>
      </c>
      <c r="G29">
        <f t="shared" si="0"/>
        <v>10</v>
      </c>
    </row>
    <row r="30" spans="1:7" x14ac:dyDescent="0.3">
      <c r="A30">
        <v>47</v>
      </c>
      <c r="B30">
        <v>1</v>
      </c>
      <c r="C30" s="2">
        <v>44854.032395833332</v>
      </c>
      <c r="D30">
        <v>333</v>
      </c>
      <c r="E30">
        <f>VLOOKUP(B30,Items!$A:$B,2,FALSE)</f>
        <v>0.99</v>
      </c>
      <c r="F30">
        <f>VLOOKUP(D30,Sessions!$A:$B,2,FALSE)</f>
        <v>43</v>
      </c>
      <c r="G30">
        <f t="shared" si="0"/>
        <v>10</v>
      </c>
    </row>
    <row r="31" spans="1:7" x14ac:dyDescent="0.3">
      <c r="A31">
        <v>48</v>
      </c>
      <c r="B31">
        <v>1</v>
      </c>
      <c r="C31" s="2">
        <v>44857.359224537038</v>
      </c>
      <c r="D31">
        <v>350</v>
      </c>
      <c r="E31">
        <f>VLOOKUP(B31,Items!$A:$B,2,FALSE)</f>
        <v>0.99</v>
      </c>
      <c r="F31">
        <f>VLOOKUP(D31,Sessions!$A:$B,2,FALSE)</f>
        <v>43</v>
      </c>
      <c r="G31">
        <f t="shared" si="0"/>
        <v>10</v>
      </c>
    </row>
    <row r="32" spans="1:7" x14ac:dyDescent="0.3">
      <c r="A32">
        <v>49</v>
      </c>
      <c r="B32">
        <v>1</v>
      </c>
      <c r="C32" s="2">
        <v>44857.891909722224</v>
      </c>
      <c r="D32">
        <v>352</v>
      </c>
      <c r="E32">
        <f>VLOOKUP(B32,Items!$A:$B,2,FALSE)</f>
        <v>0.99</v>
      </c>
      <c r="F32">
        <f>VLOOKUP(D32,Sessions!$A:$B,2,FALSE)</f>
        <v>43</v>
      </c>
      <c r="G32">
        <f t="shared" si="0"/>
        <v>10</v>
      </c>
    </row>
    <row r="33" spans="1:7" x14ac:dyDescent="0.3">
      <c r="A33">
        <v>50</v>
      </c>
      <c r="B33">
        <v>5</v>
      </c>
      <c r="C33" s="2">
        <v>44861.749444444446</v>
      </c>
      <c r="D33">
        <v>372</v>
      </c>
      <c r="E33">
        <f>VLOOKUP(B33,Items!$A:$B,2,FALSE)</f>
        <v>9.99</v>
      </c>
      <c r="F33">
        <f>VLOOKUP(D33,Sessions!$A:$B,2,FALSE)</f>
        <v>43</v>
      </c>
      <c r="G33">
        <f t="shared" si="0"/>
        <v>10</v>
      </c>
    </row>
    <row r="34" spans="1:7" x14ac:dyDescent="0.3">
      <c r="A34">
        <v>51</v>
      </c>
      <c r="B34">
        <v>3</v>
      </c>
      <c r="C34" s="2">
        <v>44862.472037037034</v>
      </c>
      <c r="D34">
        <v>375</v>
      </c>
      <c r="E34">
        <f>VLOOKUP(B34,Items!$A:$B,2,FALSE)</f>
        <v>4.99</v>
      </c>
      <c r="F34">
        <f>VLOOKUP(D34,Sessions!$A:$B,2,FALSE)</f>
        <v>43</v>
      </c>
      <c r="G34">
        <f t="shared" ref="G34:G65" si="1">MONTH(C34)</f>
        <v>10</v>
      </c>
    </row>
    <row r="35" spans="1:7" x14ac:dyDescent="0.3">
      <c r="A35">
        <v>52</v>
      </c>
      <c r="B35">
        <v>2</v>
      </c>
      <c r="C35" s="2">
        <v>44863.23201388889</v>
      </c>
      <c r="D35">
        <v>379</v>
      </c>
      <c r="E35">
        <f>VLOOKUP(B35,Items!$A:$B,2,FALSE)</f>
        <v>2.99</v>
      </c>
      <c r="F35">
        <f>VLOOKUP(D35,Sessions!$A:$B,2,FALSE)</f>
        <v>43</v>
      </c>
      <c r="G35">
        <f t="shared" si="1"/>
        <v>10</v>
      </c>
    </row>
    <row r="36" spans="1:7" x14ac:dyDescent="0.3">
      <c r="A36">
        <v>53</v>
      </c>
      <c r="B36">
        <v>5</v>
      </c>
      <c r="C36" s="2">
        <v>44863.743819444448</v>
      </c>
      <c r="D36">
        <v>382</v>
      </c>
      <c r="E36">
        <f>VLOOKUP(B36,Items!$A:$B,2,FALSE)</f>
        <v>9.99</v>
      </c>
      <c r="F36">
        <f>VLOOKUP(D36,Sessions!$A:$B,2,FALSE)</f>
        <v>43</v>
      </c>
      <c r="G36">
        <f t="shared" si="1"/>
        <v>10</v>
      </c>
    </row>
    <row r="37" spans="1:7" x14ac:dyDescent="0.3">
      <c r="A37">
        <v>54</v>
      </c>
      <c r="B37">
        <v>1</v>
      </c>
      <c r="C37" s="2">
        <v>44895.837407407409</v>
      </c>
      <c r="D37">
        <v>389</v>
      </c>
      <c r="E37">
        <f>VLOOKUP(B37,Items!$A:$B,2,FALSE)</f>
        <v>0.99</v>
      </c>
      <c r="F37">
        <f>VLOOKUP(D37,Sessions!$A:$B,2,FALSE)</f>
        <v>45</v>
      </c>
      <c r="G37">
        <f t="shared" si="1"/>
        <v>11</v>
      </c>
    </row>
    <row r="38" spans="1:7" x14ac:dyDescent="0.3">
      <c r="A38">
        <v>55</v>
      </c>
      <c r="B38">
        <v>5</v>
      </c>
      <c r="C38" s="2">
        <v>44923.982256944444</v>
      </c>
      <c r="D38">
        <v>416</v>
      </c>
      <c r="E38">
        <f>VLOOKUP(B38,Items!$A:$B,2,FALSE)</f>
        <v>9.99</v>
      </c>
      <c r="F38">
        <f>VLOOKUP(D38,Sessions!$A:$B,2,FALSE)</f>
        <v>46</v>
      </c>
      <c r="G38">
        <f t="shared" si="1"/>
        <v>12</v>
      </c>
    </row>
    <row r="39" spans="1:7" x14ac:dyDescent="0.3">
      <c r="A39">
        <v>56</v>
      </c>
      <c r="B39">
        <v>1</v>
      </c>
      <c r="C39" s="2">
        <v>44751.450555555559</v>
      </c>
      <c r="D39">
        <v>441</v>
      </c>
      <c r="E39">
        <f>VLOOKUP(B39,Items!$A:$B,2,FALSE)</f>
        <v>0.99</v>
      </c>
      <c r="F39">
        <f>VLOOKUP(D39,Sessions!$A:$B,2,FALSE)</f>
        <v>48</v>
      </c>
      <c r="G39">
        <f t="shared" si="1"/>
        <v>7</v>
      </c>
    </row>
    <row r="40" spans="1:7" x14ac:dyDescent="0.3">
      <c r="A40">
        <v>57</v>
      </c>
      <c r="B40">
        <v>2</v>
      </c>
      <c r="C40" s="2">
        <v>44751.660011574073</v>
      </c>
      <c r="D40">
        <v>442</v>
      </c>
      <c r="E40">
        <f>VLOOKUP(B40,Items!$A:$B,2,FALSE)</f>
        <v>2.99</v>
      </c>
      <c r="F40">
        <f>VLOOKUP(D40,Sessions!$A:$B,2,FALSE)</f>
        <v>48</v>
      </c>
      <c r="G40">
        <f t="shared" si="1"/>
        <v>7</v>
      </c>
    </row>
    <row r="41" spans="1:7" x14ac:dyDescent="0.3">
      <c r="A41">
        <v>58</v>
      </c>
      <c r="B41">
        <v>1</v>
      </c>
      <c r="C41" s="2">
        <v>44752.796064814815</v>
      </c>
      <c r="D41">
        <v>449</v>
      </c>
      <c r="E41">
        <f>VLOOKUP(B41,Items!$A:$B,2,FALSE)</f>
        <v>0.99</v>
      </c>
      <c r="F41">
        <f>VLOOKUP(D41,Sessions!$A:$B,2,FALSE)</f>
        <v>48</v>
      </c>
      <c r="G41">
        <f t="shared" si="1"/>
        <v>7</v>
      </c>
    </row>
    <row r="42" spans="1:7" x14ac:dyDescent="0.3">
      <c r="A42">
        <v>59</v>
      </c>
      <c r="B42">
        <v>5</v>
      </c>
      <c r="C42" s="2">
        <v>44921.656331018516</v>
      </c>
      <c r="D42">
        <v>472</v>
      </c>
      <c r="E42">
        <f>VLOOKUP(B42,Items!$A:$B,2,FALSE)</f>
        <v>9.99</v>
      </c>
      <c r="F42">
        <f>VLOOKUP(D42,Sessions!$A:$B,2,FALSE)</f>
        <v>53</v>
      </c>
      <c r="G42">
        <f t="shared" si="1"/>
        <v>12</v>
      </c>
    </row>
    <row r="43" spans="1:7" x14ac:dyDescent="0.3">
      <c r="A43">
        <v>60</v>
      </c>
      <c r="B43">
        <v>2</v>
      </c>
      <c r="C43" s="2">
        <v>44922.19017361111</v>
      </c>
      <c r="D43">
        <v>475</v>
      </c>
      <c r="E43">
        <f>VLOOKUP(B43,Items!$A:$B,2,FALSE)</f>
        <v>2.99</v>
      </c>
      <c r="F43">
        <f>VLOOKUP(D43,Sessions!$A:$B,2,FALSE)</f>
        <v>53</v>
      </c>
      <c r="G43">
        <f t="shared" si="1"/>
        <v>12</v>
      </c>
    </row>
    <row r="44" spans="1:7" x14ac:dyDescent="0.3">
      <c r="A44">
        <v>61</v>
      </c>
      <c r="B44">
        <v>2</v>
      </c>
      <c r="C44" s="2">
        <v>44779.576469907406</v>
      </c>
      <c r="D44">
        <v>482</v>
      </c>
      <c r="E44">
        <f>VLOOKUP(B44,Items!$A:$B,2,FALSE)</f>
        <v>2.99</v>
      </c>
      <c r="F44">
        <f>VLOOKUP(D44,Sessions!$A:$B,2,FALSE)</f>
        <v>54</v>
      </c>
      <c r="G44">
        <f t="shared" si="1"/>
        <v>8</v>
      </c>
    </row>
    <row r="45" spans="1:7" x14ac:dyDescent="0.3">
      <c r="A45">
        <v>62</v>
      </c>
      <c r="B45">
        <v>1</v>
      </c>
      <c r="C45" s="2">
        <v>44867.103460648148</v>
      </c>
      <c r="D45">
        <v>488</v>
      </c>
      <c r="E45">
        <f>VLOOKUP(B45,Items!$A:$B,2,FALSE)</f>
        <v>0.99</v>
      </c>
      <c r="F45">
        <f>VLOOKUP(D45,Sessions!$A:$B,2,FALSE)</f>
        <v>55</v>
      </c>
      <c r="G45">
        <f t="shared" si="1"/>
        <v>11</v>
      </c>
    </row>
    <row r="46" spans="1:7" x14ac:dyDescent="0.3">
      <c r="A46">
        <v>63</v>
      </c>
      <c r="B46">
        <v>1</v>
      </c>
      <c r="C46" s="2">
        <v>44726.642199074071</v>
      </c>
      <c r="D46">
        <v>503</v>
      </c>
      <c r="E46">
        <f>VLOOKUP(B46,Items!$A:$B,2,FALSE)</f>
        <v>0.99</v>
      </c>
      <c r="F46">
        <f>VLOOKUP(D46,Sessions!$A:$B,2,FALSE)</f>
        <v>57</v>
      </c>
      <c r="G46">
        <f t="shared" si="1"/>
        <v>6</v>
      </c>
    </row>
    <row r="47" spans="1:7" x14ac:dyDescent="0.3">
      <c r="A47">
        <v>64</v>
      </c>
      <c r="B47">
        <v>1</v>
      </c>
      <c r="C47" s="2">
        <v>44727.800127314818</v>
      </c>
      <c r="D47">
        <v>508</v>
      </c>
      <c r="E47">
        <f>VLOOKUP(B47,Items!$A:$B,2,FALSE)</f>
        <v>0.99</v>
      </c>
      <c r="F47">
        <f>VLOOKUP(D47,Sessions!$A:$B,2,FALSE)</f>
        <v>57</v>
      </c>
      <c r="G47">
        <f t="shared" si="1"/>
        <v>6</v>
      </c>
    </row>
    <row r="48" spans="1:7" x14ac:dyDescent="0.3">
      <c r="A48">
        <v>65</v>
      </c>
      <c r="B48">
        <v>3</v>
      </c>
      <c r="C48" s="2">
        <v>44728.34039351852</v>
      </c>
      <c r="D48">
        <v>510</v>
      </c>
      <c r="E48">
        <f>VLOOKUP(B48,Items!$A:$B,2,FALSE)</f>
        <v>4.99</v>
      </c>
      <c r="F48">
        <f>VLOOKUP(D48,Sessions!$A:$B,2,FALSE)</f>
        <v>57</v>
      </c>
      <c r="G48">
        <f t="shared" si="1"/>
        <v>6</v>
      </c>
    </row>
    <row r="49" spans="1:7" x14ac:dyDescent="0.3">
      <c r="A49">
        <v>66</v>
      </c>
      <c r="B49">
        <v>1</v>
      </c>
      <c r="C49" s="2">
        <v>44678.713206018518</v>
      </c>
      <c r="D49">
        <v>515</v>
      </c>
      <c r="E49">
        <f>VLOOKUP(B49,Items!$A:$B,2,FALSE)</f>
        <v>0.99</v>
      </c>
      <c r="F49">
        <f>VLOOKUP(D49,Sessions!$A:$B,2,FALSE)</f>
        <v>58</v>
      </c>
      <c r="G49">
        <f t="shared" si="1"/>
        <v>4</v>
      </c>
    </row>
    <row r="50" spans="1:7" x14ac:dyDescent="0.3">
      <c r="A50">
        <v>67</v>
      </c>
      <c r="B50">
        <v>1</v>
      </c>
      <c r="C50" s="2">
        <v>44831.249803240738</v>
      </c>
      <c r="D50">
        <v>537</v>
      </c>
      <c r="E50">
        <f>VLOOKUP(B50,Items!$A:$B,2,FALSE)</f>
        <v>0.99</v>
      </c>
      <c r="F50">
        <f>VLOOKUP(D50,Sessions!$A:$B,2,FALSE)</f>
        <v>59</v>
      </c>
      <c r="G50">
        <f t="shared" si="1"/>
        <v>9</v>
      </c>
    </row>
    <row r="51" spans="1:7" x14ac:dyDescent="0.3">
      <c r="A51">
        <v>68</v>
      </c>
      <c r="B51">
        <v>1</v>
      </c>
      <c r="C51" s="2">
        <v>44832.818148148152</v>
      </c>
      <c r="D51">
        <v>544</v>
      </c>
      <c r="E51">
        <f>VLOOKUP(B51,Items!$A:$B,2,FALSE)</f>
        <v>0.99</v>
      </c>
      <c r="F51">
        <f>VLOOKUP(D51,Sessions!$A:$B,2,FALSE)</f>
        <v>59</v>
      </c>
      <c r="G51">
        <f t="shared" si="1"/>
        <v>9</v>
      </c>
    </row>
    <row r="52" spans="1:7" x14ac:dyDescent="0.3">
      <c r="A52">
        <v>69</v>
      </c>
      <c r="B52">
        <v>1</v>
      </c>
      <c r="C52" s="2">
        <v>44833.379108796296</v>
      </c>
      <c r="D52">
        <v>547</v>
      </c>
      <c r="E52">
        <f>VLOOKUP(B52,Items!$A:$B,2,FALSE)</f>
        <v>0.99</v>
      </c>
      <c r="F52">
        <f>VLOOKUP(D52,Sessions!$A:$B,2,FALSE)</f>
        <v>59</v>
      </c>
      <c r="G52">
        <f t="shared" si="1"/>
        <v>9</v>
      </c>
    </row>
    <row r="53" spans="1:7" x14ac:dyDescent="0.3">
      <c r="A53">
        <v>70</v>
      </c>
      <c r="B53">
        <v>1</v>
      </c>
      <c r="C53" s="2">
        <v>44835.669895833336</v>
      </c>
      <c r="D53">
        <v>558</v>
      </c>
      <c r="E53">
        <f>VLOOKUP(B53,Items!$A:$B,2,FALSE)</f>
        <v>0.99</v>
      </c>
      <c r="F53">
        <f>VLOOKUP(D53,Sessions!$A:$B,2,FALSE)</f>
        <v>59</v>
      </c>
      <c r="G53">
        <f t="shared" si="1"/>
        <v>10</v>
      </c>
    </row>
    <row r="54" spans="1:7" x14ac:dyDescent="0.3">
      <c r="A54">
        <v>71</v>
      </c>
      <c r="B54">
        <v>1</v>
      </c>
      <c r="C54" s="2">
        <v>44836.013101851851</v>
      </c>
      <c r="D54">
        <v>559</v>
      </c>
      <c r="E54">
        <f>VLOOKUP(B54,Items!$A:$B,2,FALSE)</f>
        <v>0.99</v>
      </c>
      <c r="F54">
        <f>VLOOKUP(D54,Sessions!$A:$B,2,FALSE)</f>
        <v>59</v>
      </c>
      <c r="G54">
        <f t="shared" si="1"/>
        <v>10</v>
      </c>
    </row>
    <row r="55" spans="1:7" x14ac:dyDescent="0.3">
      <c r="A55">
        <v>72</v>
      </c>
      <c r="B55">
        <v>1</v>
      </c>
      <c r="C55" s="2">
        <v>44838.435949074075</v>
      </c>
      <c r="D55">
        <v>572</v>
      </c>
      <c r="E55">
        <f>VLOOKUP(B55,Items!$A:$B,2,FALSE)</f>
        <v>0.99</v>
      </c>
      <c r="F55">
        <f>VLOOKUP(D55,Sessions!$A:$B,2,FALSE)</f>
        <v>59</v>
      </c>
      <c r="G55">
        <f t="shared" si="1"/>
        <v>10</v>
      </c>
    </row>
    <row r="56" spans="1:7" x14ac:dyDescent="0.3">
      <c r="A56">
        <v>73</v>
      </c>
      <c r="B56">
        <v>2</v>
      </c>
      <c r="C56" s="2">
        <v>44838.806597222225</v>
      </c>
      <c r="D56">
        <v>574</v>
      </c>
      <c r="E56">
        <f>VLOOKUP(B56,Items!$A:$B,2,FALSE)</f>
        <v>2.99</v>
      </c>
      <c r="F56">
        <f>VLOOKUP(D56,Sessions!$A:$B,2,FALSE)</f>
        <v>59</v>
      </c>
      <c r="G56">
        <f t="shared" si="1"/>
        <v>10</v>
      </c>
    </row>
    <row r="57" spans="1:7" x14ac:dyDescent="0.3">
      <c r="A57">
        <v>74</v>
      </c>
      <c r="B57">
        <v>1</v>
      </c>
      <c r="C57" s="2">
        <v>44718.748032407406</v>
      </c>
      <c r="D57">
        <v>598</v>
      </c>
      <c r="E57">
        <f>VLOOKUP(B57,Items!$A:$B,2,FALSE)</f>
        <v>0.99</v>
      </c>
      <c r="F57">
        <f>VLOOKUP(D57,Sessions!$A:$B,2,FALSE)</f>
        <v>66</v>
      </c>
      <c r="G57">
        <f t="shared" si="1"/>
        <v>6</v>
      </c>
    </row>
    <row r="58" spans="1:7" x14ac:dyDescent="0.3">
      <c r="A58">
        <v>75</v>
      </c>
      <c r="B58">
        <v>3</v>
      </c>
      <c r="C58" s="2">
        <v>44740.425706018519</v>
      </c>
      <c r="D58">
        <v>616</v>
      </c>
      <c r="E58">
        <f>VLOOKUP(B58,Items!$A:$B,2,FALSE)</f>
        <v>4.99</v>
      </c>
      <c r="F58">
        <f>VLOOKUP(D58,Sessions!$A:$B,2,FALSE)</f>
        <v>67</v>
      </c>
      <c r="G58">
        <f t="shared" si="1"/>
        <v>6</v>
      </c>
    </row>
    <row r="59" spans="1:7" x14ac:dyDescent="0.3">
      <c r="A59">
        <v>76</v>
      </c>
      <c r="B59">
        <v>1</v>
      </c>
      <c r="C59" s="2">
        <v>44743.0940162037</v>
      </c>
      <c r="D59">
        <v>630</v>
      </c>
      <c r="E59">
        <f>VLOOKUP(B59,Items!$A:$B,2,FALSE)</f>
        <v>0.99</v>
      </c>
      <c r="F59">
        <f>VLOOKUP(D59,Sessions!$A:$B,2,FALSE)</f>
        <v>67</v>
      </c>
      <c r="G59">
        <f t="shared" si="1"/>
        <v>7</v>
      </c>
    </row>
    <row r="60" spans="1:7" x14ac:dyDescent="0.3">
      <c r="A60">
        <v>77</v>
      </c>
      <c r="B60">
        <v>3</v>
      </c>
      <c r="C60" s="2">
        <v>44743.941562499997</v>
      </c>
      <c r="D60">
        <v>633</v>
      </c>
      <c r="E60">
        <f>VLOOKUP(B60,Items!$A:$B,2,FALSE)</f>
        <v>4.99</v>
      </c>
      <c r="F60">
        <f>VLOOKUP(D60,Sessions!$A:$B,2,FALSE)</f>
        <v>67</v>
      </c>
      <c r="G60">
        <f t="shared" si="1"/>
        <v>7</v>
      </c>
    </row>
    <row r="61" spans="1:7" x14ac:dyDescent="0.3">
      <c r="A61">
        <v>78</v>
      </c>
      <c r="B61">
        <v>2</v>
      </c>
      <c r="C61" s="2">
        <v>44744.756747685184</v>
      </c>
      <c r="D61">
        <v>638</v>
      </c>
      <c r="E61">
        <f>VLOOKUP(B61,Items!$A:$B,2,FALSE)</f>
        <v>2.99</v>
      </c>
      <c r="F61">
        <f>VLOOKUP(D61,Sessions!$A:$B,2,FALSE)</f>
        <v>67</v>
      </c>
      <c r="G61">
        <f t="shared" si="1"/>
        <v>7</v>
      </c>
    </row>
    <row r="62" spans="1:7" x14ac:dyDescent="0.3">
      <c r="A62">
        <v>79</v>
      </c>
      <c r="B62">
        <v>3</v>
      </c>
      <c r="C62" s="2">
        <v>44746.083344907405</v>
      </c>
      <c r="D62">
        <v>643</v>
      </c>
      <c r="E62">
        <f>VLOOKUP(B62,Items!$A:$B,2,FALSE)</f>
        <v>4.99</v>
      </c>
      <c r="F62">
        <f>VLOOKUP(D62,Sessions!$A:$B,2,FALSE)</f>
        <v>67</v>
      </c>
      <c r="G62">
        <f t="shared" si="1"/>
        <v>7</v>
      </c>
    </row>
    <row r="63" spans="1:7" x14ac:dyDescent="0.3">
      <c r="A63">
        <v>80</v>
      </c>
      <c r="B63">
        <v>2</v>
      </c>
      <c r="C63" s="2">
        <v>44747.144803240742</v>
      </c>
      <c r="D63">
        <v>647</v>
      </c>
      <c r="E63">
        <f>VLOOKUP(B63,Items!$A:$B,2,FALSE)</f>
        <v>2.99</v>
      </c>
      <c r="F63">
        <f>VLOOKUP(D63,Sessions!$A:$B,2,FALSE)</f>
        <v>67</v>
      </c>
      <c r="G63">
        <f t="shared" si="1"/>
        <v>7</v>
      </c>
    </row>
    <row r="64" spans="1:7" x14ac:dyDescent="0.3">
      <c r="A64">
        <v>81</v>
      </c>
      <c r="B64">
        <v>1</v>
      </c>
      <c r="C64" s="2">
        <v>44747.446064814816</v>
      </c>
      <c r="D64">
        <v>648</v>
      </c>
      <c r="E64">
        <f>VLOOKUP(B64,Items!$A:$B,2,FALSE)</f>
        <v>0.99</v>
      </c>
      <c r="F64">
        <f>VLOOKUP(D64,Sessions!$A:$B,2,FALSE)</f>
        <v>67</v>
      </c>
      <c r="G64">
        <f t="shared" si="1"/>
        <v>7</v>
      </c>
    </row>
    <row r="65" spans="1:7" x14ac:dyDescent="0.3">
      <c r="A65">
        <v>82</v>
      </c>
      <c r="B65">
        <v>1</v>
      </c>
      <c r="C65" s="2">
        <v>44892.073252314818</v>
      </c>
      <c r="D65">
        <v>661</v>
      </c>
      <c r="E65">
        <f>VLOOKUP(B65,Items!$A:$B,2,FALSE)</f>
        <v>0.99</v>
      </c>
      <c r="F65">
        <f>VLOOKUP(D65,Sessions!$A:$B,2,FALSE)</f>
        <v>69</v>
      </c>
      <c r="G65">
        <f t="shared" si="1"/>
        <v>11</v>
      </c>
    </row>
    <row r="66" spans="1:7" x14ac:dyDescent="0.3">
      <c r="A66">
        <v>83</v>
      </c>
      <c r="B66">
        <v>1</v>
      </c>
      <c r="C66" s="2">
        <v>44894.788124999999</v>
      </c>
      <c r="D66">
        <v>675</v>
      </c>
      <c r="E66">
        <f>VLOOKUP(B66,Items!$A:$B,2,FALSE)</f>
        <v>0.99</v>
      </c>
      <c r="F66">
        <f>VLOOKUP(D66,Sessions!$A:$B,2,FALSE)</f>
        <v>69</v>
      </c>
      <c r="G66">
        <f t="shared" ref="G66:G97" si="2">MONTH(C66)</f>
        <v>11</v>
      </c>
    </row>
    <row r="67" spans="1:7" x14ac:dyDescent="0.3">
      <c r="A67">
        <v>84</v>
      </c>
      <c r="B67">
        <v>5</v>
      </c>
      <c r="C67" s="2">
        <v>44896.091365740744</v>
      </c>
      <c r="D67">
        <v>682</v>
      </c>
      <c r="E67">
        <f>VLOOKUP(B67,Items!$A:$B,2,FALSE)</f>
        <v>9.99</v>
      </c>
      <c r="F67">
        <f>VLOOKUP(D67,Sessions!$A:$B,2,FALSE)</f>
        <v>69</v>
      </c>
      <c r="G67">
        <f t="shared" si="2"/>
        <v>12</v>
      </c>
    </row>
    <row r="68" spans="1:7" x14ac:dyDescent="0.3">
      <c r="A68">
        <v>85</v>
      </c>
      <c r="B68">
        <v>1</v>
      </c>
      <c r="C68" s="2">
        <v>44899.521423611113</v>
      </c>
      <c r="D68">
        <v>714</v>
      </c>
      <c r="E68">
        <f>VLOOKUP(B68,Items!$A:$B,2,FALSE)</f>
        <v>0.99</v>
      </c>
      <c r="F68">
        <f>VLOOKUP(D68,Sessions!$A:$B,2,FALSE)</f>
        <v>73</v>
      </c>
      <c r="G68">
        <f t="shared" si="2"/>
        <v>12</v>
      </c>
    </row>
    <row r="69" spans="1:7" x14ac:dyDescent="0.3">
      <c r="A69">
        <v>86</v>
      </c>
      <c r="B69">
        <v>1</v>
      </c>
      <c r="C69" s="2">
        <v>44901.723310185182</v>
      </c>
      <c r="D69">
        <v>724</v>
      </c>
      <c r="E69">
        <f>VLOOKUP(B69,Items!$A:$B,2,FALSE)</f>
        <v>0.99</v>
      </c>
      <c r="F69">
        <f>VLOOKUP(D69,Sessions!$A:$B,2,FALSE)</f>
        <v>73</v>
      </c>
      <c r="G69">
        <f t="shared" si="2"/>
        <v>12</v>
      </c>
    </row>
    <row r="70" spans="1:7" x14ac:dyDescent="0.3">
      <c r="A70">
        <v>87</v>
      </c>
      <c r="B70">
        <v>2</v>
      </c>
      <c r="C70" s="2">
        <v>44902.61891203704</v>
      </c>
      <c r="D70">
        <v>729</v>
      </c>
      <c r="E70">
        <f>VLOOKUP(B70,Items!$A:$B,2,FALSE)</f>
        <v>2.99</v>
      </c>
      <c r="F70">
        <f>VLOOKUP(D70,Sessions!$A:$B,2,FALSE)</f>
        <v>73</v>
      </c>
      <c r="G70">
        <f t="shared" si="2"/>
        <v>12</v>
      </c>
    </row>
    <row r="71" spans="1:7" x14ac:dyDescent="0.3">
      <c r="A71">
        <v>88</v>
      </c>
      <c r="B71">
        <v>1</v>
      </c>
      <c r="C71" s="2">
        <v>44902.96502314815</v>
      </c>
      <c r="D71">
        <v>730</v>
      </c>
      <c r="E71">
        <f>VLOOKUP(B71,Items!$A:$B,2,FALSE)</f>
        <v>0.99</v>
      </c>
      <c r="F71">
        <f>VLOOKUP(D71,Sessions!$A:$B,2,FALSE)</f>
        <v>73</v>
      </c>
      <c r="G71">
        <f t="shared" si="2"/>
        <v>12</v>
      </c>
    </row>
    <row r="72" spans="1:7" x14ac:dyDescent="0.3">
      <c r="A72">
        <v>89</v>
      </c>
      <c r="B72">
        <v>3</v>
      </c>
      <c r="C72" s="2">
        <v>44905.135185185187</v>
      </c>
      <c r="D72">
        <v>743</v>
      </c>
      <c r="E72">
        <f>VLOOKUP(B72,Items!$A:$B,2,FALSE)</f>
        <v>4.99</v>
      </c>
      <c r="F72">
        <f>VLOOKUP(D72,Sessions!$A:$B,2,FALSE)</f>
        <v>73</v>
      </c>
      <c r="G72">
        <f t="shared" si="2"/>
        <v>12</v>
      </c>
    </row>
    <row r="73" spans="1:7" x14ac:dyDescent="0.3">
      <c r="A73">
        <v>90</v>
      </c>
      <c r="B73">
        <v>1</v>
      </c>
      <c r="C73" s="2">
        <v>44765.904282407406</v>
      </c>
      <c r="D73">
        <v>747</v>
      </c>
      <c r="E73">
        <f>VLOOKUP(B73,Items!$A:$B,2,FALSE)</f>
        <v>0.99</v>
      </c>
      <c r="F73">
        <f>VLOOKUP(D73,Sessions!$A:$B,2,FALSE)</f>
        <v>74</v>
      </c>
      <c r="G73">
        <f t="shared" si="2"/>
        <v>7</v>
      </c>
    </row>
    <row r="74" spans="1:7" x14ac:dyDescent="0.3">
      <c r="A74">
        <v>91</v>
      </c>
      <c r="B74">
        <v>2</v>
      </c>
      <c r="C74" s="2">
        <v>44766.763240740744</v>
      </c>
      <c r="D74">
        <v>752</v>
      </c>
      <c r="E74">
        <f>VLOOKUP(B74,Items!$A:$B,2,FALSE)</f>
        <v>2.99</v>
      </c>
      <c r="F74">
        <f>VLOOKUP(D74,Sessions!$A:$B,2,FALSE)</f>
        <v>74</v>
      </c>
      <c r="G74">
        <f t="shared" si="2"/>
        <v>7</v>
      </c>
    </row>
    <row r="75" spans="1:7" x14ac:dyDescent="0.3">
      <c r="A75">
        <v>92</v>
      </c>
      <c r="B75">
        <v>1</v>
      </c>
      <c r="C75" s="2">
        <v>44767.579884259256</v>
      </c>
      <c r="D75">
        <v>758</v>
      </c>
      <c r="E75">
        <f>VLOOKUP(B75,Items!$A:$B,2,FALSE)</f>
        <v>0.99</v>
      </c>
      <c r="F75">
        <f>VLOOKUP(D75,Sessions!$A:$B,2,FALSE)</f>
        <v>74</v>
      </c>
      <c r="G75">
        <f t="shared" si="2"/>
        <v>7</v>
      </c>
    </row>
    <row r="76" spans="1:7" x14ac:dyDescent="0.3">
      <c r="A76">
        <v>93</v>
      </c>
      <c r="B76">
        <v>3</v>
      </c>
      <c r="C76" s="2">
        <v>44769.750451388885</v>
      </c>
      <c r="D76">
        <v>769</v>
      </c>
      <c r="E76">
        <f>VLOOKUP(B76,Items!$A:$B,2,FALSE)</f>
        <v>4.99</v>
      </c>
      <c r="F76">
        <f>VLOOKUP(D76,Sessions!$A:$B,2,FALSE)</f>
        <v>74</v>
      </c>
      <c r="G76">
        <f t="shared" si="2"/>
        <v>7</v>
      </c>
    </row>
    <row r="77" spans="1:7" x14ac:dyDescent="0.3">
      <c r="A77">
        <v>94</v>
      </c>
      <c r="B77">
        <v>1</v>
      </c>
      <c r="C77" s="2">
        <v>44770.052708333336</v>
      </c>
      <c r="D77">
        <v>770</v>
      </c>
      <c r="E77">
        <f>VLOOKUP(B77,Items!$A:$B,2,FALSE)</f>
        <v>0.99</v>
      </c>
      <c r="F77">
        <f>VLOOKUP(D77,Sessions!$A:$B,2,FALSE)</f>
        <v>74</v>
      </c>
      <c r="G77">
        <f t="shared" si="2"/>
        <v>7</v>
      </c>
    </row>
    <row r="78" spans="1:7" x14ac:dyDescent="0.3">
      <c r="A78">
        <v>95</v>
      </c>
      <c r="B78">
        <v>1</v>
      </c>
      <c r="C78" s="2">
        <v>44772.38616898148</v>
      </c>
      <c r="D78">
        <v>785</v>
      </c>
      <c r="E78">
        <f>VLOOKUP(B78,Items!$A:$B,2,FALSE)</f>
        <v>0.99</v>
      </c>
      <c r="F78">
        <f>VLOOKUP(D78,Sessions!$A:$B,2,FALSE)</f>
        <v>74</v>
      </c>
      <c r="G78">
        <f t="shared" si="2"/>
        <v>7</v>
      </c>
    </row>
    <row r="79" spans="1:7" x14ac:dyDescent="0.3">
      <c r="A79">
        <v>96</v>
      </c>
      <c r="B79">
        <v>3</v>
      </c>
      <c r="C79" s="2">
        <v>44772.89570601852</v>
      </c>
      <c r="D79">
        <v>788</v>
      </c>
      <c r="E79">
        <f>VLOOKUP(B79,Items!$A:$B,2,FALSE)</f>
        <v>4.99</v>
      </c>
      <c r="F79">
        <f>VLOOKUP(D79,Sessions!$A:$B,2,FALSE)</f>
        <v>74</v>
      </c>
      <c r="G79">
        <f t="shared" si="2"/>
        <v>7</v>
      </c>
    </row>
    <row r="80" spans="1:7" x14ac:dyDescent="0.3">
      <c r="A80">
        <v>97</v>
      </c>
      <c r="B80">
        <v>3</v>
      </c>
      <c r="C80" s="2">
        <v>44911.096608796295</v>
      </c>
      <c r="D80">
        <v>828</v>
      </c>
      <c r="E80">
        <f>VLOOKUP(B80,Items!$A:$B,2,FALSE)</f>
        <v>4.99</v>
      </c>
      <c r="F80">
        <f>VLOOKUP(D80,Sessions!$A:$B,2,FALSE)</f>
        <v>76</v>
      </c>
      <c r="G80">
        <f t="shared" si="2"/>
        <v>12</v>
      </c>
    </row>
    <row r="81" spans="1:7" x14ac:dyDescent="0.3">
      <c r="A81">
        <v>98</v>
      </c>
      <c r="B81">
        <v>3</v>
      </c>
      <c r="C81" s="2">
        <v>44895.163043981483</v>
      </c>
      <c r="D81">
        <v>834</v>
      </c>
      <c r="E81">
        <f>VLOOKUP(B81,Items!$A:$B,2,FALSE)</f>
        <v>4.99</v>
      </c>
      <c r="F81">
        <f>VLOOKUP(D81,Sessions!$A:$B,2,FALSE)</f>
        <v>77</v>
      </c>
      <c r="G81">
        <f t="shared" si="2"/>
        <v>11</v>
      </c>
    </row>
    <row r="82" spans="1:7" x14ac:dyDescent="0.3">
      <c r="A82">
        <v>99</v>
      </c>
      <c r="B82">
        <v>5</v>
      </c>
      <c r="C82" s="2">
        <v>44896.884722222225</v>
      </c>
      <c r="D82">
        <v>842</v>
      </c>
      <c r="E82">
        <f>VLOOKUP(B82,Items!$A:$B,2,FALSE)</f>
        <v>9.99</v>
      </c>
      <c r="F82">
        <f>VLOOKUP(D82,Sessions!$A:$B,2,FALSE)</f>
        <v>77</v>
      </c>
      <c r="G82">
        <f t="shared" si="2"/>
        <v>12</v>
      </c>
    </row>
    <row r="83" spans="1:7" x14ac:dyDescent="0.3">
      <c r="A83">
        <v>100</v>
      </c>
      <c r="B83">
        <v>2</v>
      </c>
      <c r="C83" s="2">
        <v>44759.053773148145</v>
      </c>
      <c r="D83">
        <v>880</v>
      </c>
      <c r="E83">
        <f>VLOOKUP(B83,Items!$A:$B,2,FALSE)</f>
        <v>2.99</v>
      </c>
      <c r="F83">
        <f>VLOOKUP(D83,Sessions!$A:$B,2,FALSE)</f>
        <v>80</v>
      </c>
      <c r="G83">
        <f t="shared" si="2"/>
        <v>7</v>
      </c>
    </row>
    <row r="84" spans="1:7" x14ac:dyDescent="0.3">
      <c r="A84">
        <v>101</v>
      </c>
      <c r="B84">
        <v>1</v>
      </c>
      <c r="C84" s="2">
        <v>44791.541921296295</v>
      </c>
      <c r="D84">
        <v>882</v>
      </c>
      <c r="E84">
        <f>VLOOKUP(B84,Items!$A:$B,2,FALSE)</f>
        <v>0.99</v>
      </c>
      <c r="F84">
        <f>VLOOKUP(D84,Sessions!$A:$B,2,FALSE)</f>
        <v>81</v>
      </c>
      <c r="G84">
        <f t="shared" si="2"/>
        <v>8</v>
      </c>
    </row>
    <row r="85" spans="1:7" x14ac:dyDescent="0.3">
      <c r="A85">
        <v>102</v>
      </c>
      <c r="B85">
        <v>5</v>
      </c>
      <c r="C85" s="2">
        <v>44791.802442129629</v>
      </c>
      <c r="D85">
        <v>883</v>
      </c>
      <c r="E85">
        <f>VLOOKUP(B85,Items!$A:$B,2,FALSE)</f>
        <v>9.99</v>
      </c>
      <c r="F85">
        <f>VLOOKUP(D85,Sessions!$A:$B,2,FALSE)</f>
        <v>81</v>
      </c>
      <c r="G85">
        <f t="shared" si="2"/>
        <v>8</v>
      </c>
    </row>
    <row r="86" spans="1:7" x14ac:dyDescent="0.3">
      <c r="A86">
        <v>103</v>
      </c>
      <c r="B86">
        <v>2</v>
      </c>
      <c r="C86" s="2">
        <v>44879.819490740738</v>
      </c>
      <c r="D86">
        <v>897</v>
      </c>
      <c r="E86">
        <f>VLOOKUP(B86,Items!$A:$B,2,FALSE)</f>
        <v>2.99</v>
      </c>
      <c r="F86">
        <f>VLOOKUP(D86,Sessions!$A:$B,2,FALSE)</f>
        <v>82</v>
      </c>
      <c r="G86">
        <f t="shared" si="2"/>
        <v>11</v>
      </c>
    </row>
    <row r="87" spans="1:7" x14ac:dyDescent="0.3">
      <c r="A87">
        <v>104</v>
      </c>
      <c r="B87">
        <v>1</v>
      </c>
      <c r="C87" s="2">
        <v>44880.005416666667</v>
      </c>
      <c r="D87">
        <v>898</v>
      </c>
      <c r="E87">
        <f>VLOOKUP(B87,Items!$A:$B,2,FALSE)</f>
        <v>0.99</v>
      </c>
      <c r="F87">
        <f>VLOOKUP(D87,Sessions!$A:$B,2,FALSE)</f>
        <v>82</v>
      </c>
      <c r="G87">
        <f t="shared" si="2"/>
        <v>11</v>
      </c>
    </row>
    <row r="88" spans="1:7" x14ac:dyDescent="0.3">
      <c r="A88">
        <v>105</v>
      </c>
      <c r="B88">
        <v>1</v>
      </c>
      <c r="C88" s="2">
        <v>44886.026539351849</v>
      </c>
      <c r="D88">
        <v>930</v>
      </c>
      <c r="E88">
        <f>VLOOKUP(B88,Items!$A:$B,2,FALSE)</f>
        <v>0.99</v>
      </c>
      <c r="F88">
        <f>VLOOKUP(D88,Sessions!$A:$B,2,FALSE)</f>
        <v>82</v>
      </c>
      <c r="G88">
        <f t="shared" si="2"/>
        <v>11</v>
      </c>
    </row>
    <row r="89" spans="1:7" x14ac:dyDescent="0.3">
      <c r="A89">
        <v>106</v>
      </c>
      <c r="B89">
        <v>3</v>
      </c>
      <c r="C89" s="2">
        <v>44886.839224537034</v>
      </c>
      <c r="D89">
        <v>934</v>
      </c>
      <c r="E89">
        <f>VLOOKUP(B89,Items!$A:$B,2,FALSE)</f>
        <v>4.99</v>
      </c>
      <c r="F89">
        <f>VLOOKUP(D89,Sessions!$A:$B,2,FALSE)</f>
        <v>82</v>
      </c>
      <c r="G89">
        <f t="shared" si="2"/>
        <v>11</v>
      </c>
    </row>
    <row r="90" spans="1:7" x14ac:dyDescent="0.3">
      <c r="A90">
        <v>107</v>
      </c>
      <c r="B90">
        <v>3</v>
      </c>
      <c r="C90" s="2">
        <v>44675.767893518518</v>
      </c>
      <c r="D90">
        <v>946</v>
      </c>
      <c r="E90">
        <f>VLOOKUP(B90,Items!$A:$B,2,FALSE)</f>
        <v>4.99</v>
      </c>
      <c r="F90">
        <f>VLOOKUP(D90,Sessions!$A:$B,2,FALSE)</f>
        <v>83</v>
      </c>
      <c r="G90">
        <f t="shared" si="2"/>
        <v>4</v>
      </c>
    </row>
    <row r="91" spans="1:7" x14ac:dyDescent="0.3">
      <c r="A91">
        <v>108</v>
      </c>
      <c r="B91">
        <v>3</v>
      </c>
      <c r="C91" s="2">
        <v>44751.80878472222</v>
      </c>
      <c r="D91">
        <v>954</v>
      </c>
      <c r="E91">
        <f>VLOOKUP(B91,Items!$A:$B,2,FALSE)</f>
        <v>4.99</v>
      </c>
      <c r="F91">
        <f>VLOOKUP(D91,Sessions!$A:$B,2,FALSE)</f>
        <v>84</v>
      </c>
      <c r="G91">
        <f t="shared" si="2"/>
        <v>7</v>
      </c>
    </row>
    <row r="92" spans="1:7" x14ac:dyDescent="0.3">
      <c r="A92">
        <v>109</v>
      </c>
      <c r="B92">
        <v>1</v>
      </c>
      <c r="C92" s="2">
        <v>44702.540763888886</v>
      </c>
      <c r="D92">
        <v>957</v>
      </c>
      <c r="E92">
        <f>VLOOKUP(B92,Items!$A:$B,2,FALSE)</f>
        <v>0.99</v>
      </c>
      <c r="F92">
        <f>VLOOKUP(D92,Sessions!$A:$B,2,FALSE)</f>
        <v>85</v>
      </c>
      <c r="G92">
        <f t="shared" si="2"/>
        <v>5</v>
      </c>
    </row>
    <row r="93" spans="1:7" x14ac:dyDescent="0.3">
      <c r="A93">
        <v>110</v>
      </c>
      <c r="B93">
        <v>2</v>
      </c>
      <c r="C93" s="2">
        <v>44657.035740740743</v>
      </c>
      <c r="D93">
        <v>973</v>
      </c>
      <c r="E93">
        <f>VLOOKUP(B93,Items!$A:$B,2,FALSE)</f>
        <v>2.99</v>
      </c>
      <c r="F93">
        <f>VLOOKUP(D93,Sessions!$A:$B,2,FALSE)</f>
        <v>87</v>
      </c>
      <c r="G93">
        <f t="shared" si="2"/>
        <v>4</v>
      </c>
    </row>
    <row r="94" spans="1:7" x14ac:dyDescent="0.3">
      <c r="A94">
        <v>111</v>
      </c>
      <c r="B94">
        <v>1</v>
      </c>
      <c r="C94" s="2">
        <v>44720.741273148145</v>
      </c>
      <c r="D94">
        <v>974</v>
      </c>
      <c r="E94">
        <f>VLOOKUP(B94,Items!$A:$B,2,FALSE)</f>
        <v>0.99</v>
      </c>
      <c r="F94">
        <f>VLOOKUP(D94,Sessions!$A:$B,2,FALSE)</f>
        <v>88</v>
      </c>
      <c r="G94">
        <f t="shared" si="2"/>
        <v>6</v>
      </c>
    </row>
    <row r="95" spans="1:7" x14ac:dyDescent="0.3">
      <c r="A95">
        <v>112</v>
      </c>
      <c r="B95">
        <v>2</v>
      </c>
      <c r="C95" s="2">
        <v>44721.253530092596</v>
      </c>
      <c r="D95">
        <v>976</v>
      </c>
      <c r="E95">
        <f>VLOOKUP(B95,Items!$A:$B,2,FALSE)</f>
        <v>2.99</v>
      </c>
      <c r="F95">
        <f>VLOOKUP(D95,Sessions!$A:$B,2,FALSE)</f>
        <v>88</v>
      </c>
      <c r="G95">
        <f t="shared" si="2"/>
        <v>6</v>
      </c>
    </row>
    <row r="96" spans="1:7" x14ac:dyDescent="0.3">
      <c r="A96">
        <v>113</v>
      </c>
      <c r="B96">
        <v>2</v>
      </c>
      <c r="C96" s="2">
        <v>44721.848865740743</v>
      </c>
      <c r="D96">
        <v>979</v>
      </c>
      <c r="E96">
        <f>VLOOKUP(B96,Items!$A:$B,2,FALSE)</f>
        <v>2.99</v>
      </c>
      <c r="F96">
        <f>VLOOKUP(D96,Sessions!$A:$B,2,FALSE)</f>
        <v>88</v>
      </c>
      <c r="G96">
        <f t="shared" si="2"/>
        <v>6</v>
      </c>
    </row>
    <row r="97" spans="1:7" x14ac:dyDescent="0.3">
      <c r="A97">
        <v>114</v>
      </c>
      <c r="B97">
        <v>2</v>
      </c>
      <c r="C97" s="2">
        <v>44725.605138888888</v>
      </c>
      <c r="D97">
        <v>995</v>
      </c>
      <c r="E97">
        <f>VLOOKUP(B97,Items!$A:$B,2,FALSE)</f>
        <v>2.99</v>
      </c>
      <c r="F97">
        <f>VLOOKUP(D97,Sessions!$A:$B,2,FALSE)</f>
        <v>88</v>
      </c>
      <c r="G97">
        <f t="shared" si="2"/>
        <v>6</v>
      </c>
    </row>
    <row r="98" spans="1:7" x14ac:dyDescent="0.3">
      <c r="A98">
        <v>115</v>
      </c>
      <c r="B98">
        <v>5</v>
      </c>
      <c r="C98" s="2">
        <v>44726.016273148147</v>
      </c>
      <c r="D98">
        <v>997</v>
      </c>
      <c r="E98">
        <f>VLOOKUP(B98,Items!$A:$B,2,FALSE)</f>
        <v>9.99</v>
      </c>
      <c r="F98">
        <f>VLOOKUP(D98,Sessions!$A:$B,2,FALSE)</f>
        <v>88</v>
      </c>
      <c r="G98">
        <f t="shared" ref="G98:G119" si="3">MONTH(C98)</f>
        <v>6</v>
      </c>
    </row>
    <row r="99" spans="1:7" x14ac:dyDescent="0.3">
      <c r="A99">
        <v>116</v>
      </c>
      <c r="B99">
        <v>3</v>
      </c>
      <c r="C99" s="2">
        <v>44726.550636574073</v>
      </c>
      <c r="D99">
        <v>999</v>
      </c>
      <c r="E99">
        <f>VLOOKUP(B99,Items!$A:$B,2,FALSE)</f>
        <v>4.99</v>
      </c>
      <c r="F99">
        <f>VLOOKUP(D99,Sessions!$A:$B,2,FALSE)</f>
        <v>88</v>
      </c>
      <c r="G99">
        <f t="shared" si="3"/>
        <v>6</v>
      </c>
    </row>
    <row r="100" spans="1:7" x14ac:dyDescent="0.3">
      <c r="A100">
        <v>117</v>
      </c>
      <c r="B100">
        <v>2</v>
      </c>
      <c r="C100" s="2">
        <v>44730.559687499997</v>
      </c>
      <c r="D100">
        <v>1022</v>
      </c>
      <c r="E100">
        <f>VLOOKUP(B100,Items!$A:$B,2,FALSE)</f>
        <v>2.99</v>
      </c>
      <c r="F100">
        <f>VLOOKUP(D100,Sessions!$A:$B,2,FALSE)</f>
        <v>88</v>
      </c>
      <c r="G100">
        <f t="shared" si="3"/>
        <v>6</v>
      </c>
    </row>
    <row r="101" spans="1:7" x14ac:dyDescent="0.3">
      <c r="A101">
        <v>118</v>
      </c>
      <c r="B101">
        <v>5</v>
      </c>
      <c r="C101" s="2">
        <v>44731.601921296293</v>
      </c>
      <c r="D101">
        <v>1027</v>
      </c>
      <c r="E101">
        <f>VLOOKUP(B101,Items!$A:$B,2,FALSE)</f>
        <v>9.99</v>
      </c>
      <c r="F101">
        <f>VLOOKUP(D101,Sessions!$A:$B,2,FALSE)</f>
        <v>88</v>
      </c>
      <c r="G101">
        <f t="shared" si="3"/>
        <v>6</v>
      </c>
    </row>
    <row r="102" spans="1:7" x14ac:dyDescent="0.3">
      <c r="A102">
        <v>119</v>
      </c>
      <c r="B102">
        <v>2</v>
      </c>
      <c r="C102" s="2">
        <v>44576.853101851855</v>
      </c>
      <c r="D102">
        <v>1044</v>
      </c>
      <c r="E102">
        <f>VLOOKUP(B102,Items!$A:$B,2,FALSE)</f>
        <v>2.99</v>
      </c>
      <c r="F102">
        <f>VLOOKUP(D102,Sessions!$A:$B,2,FALSE)</f>
        <v>90</v>
      </c>
      <c r="G102">
        <f t="shared" si="3"/>
        <v>1</v>
      </c>
    </row>
    <row r="103" spans="1:7" x14ac:dyDescent="0.3">
      <c r="A103">
        <v>120</v>
      </c>
      <c r="B103">
        <v>1</v>
      </c>
      <c r="C103" s="2">
        <v>44566.743148148147</v>
      </c>
      <c r="D103">
        <v>1050</v>
      </c>
      <c r="E103">
        <f>VLOOKUP(B103,Items!$A:$B,2,FALSE)</f>
        <v>0.99</v>
      </c>
      <c r="F103">
        <f>VLOOKUP(D103,Sessions!$A:$B,2,FALSE)</f>
        <v>91</v>
      </c>
      <c r="G103">
        <f t="shared" si="3"/>
        <v>1</v>
      </c>
    </row>
    <row r="104" spans="1:7" x14ac:dyDescent="0.3">
      <c r="A104">
        <v>121</v>
      </c>
      <c r="B104">
        <v>1</v>
      </c>
      <c r="C104" s="2">
        <v>44750.153368055559</v>
      </c>
      <c r="D104">
        <v>1058</v>
      </c>
      <c r="E104">
        <f>VLOOKUP(B104,Items!$A:$B,2,FALSE)</f>
        <v>0.99</v>
      </c>
      <c r="F104">
        <f>VLOOKUP(D104,Sessions!$A:$B,2,FALSE)</f>
        <v>93</v>
      </c>
      <c r="G104">
        <f t="shared" si="3"/>
        <v>7</v>
      </c>
    </row>
    <row r="105" spans="1:7" x14ac:dyDescent="0.3">
      <c r="A105">
        <v>122</v>
      </c>
      <c r="B105">
        <v>1</v>
      </c>
      <c r="C105" s="2">
        <v>44739.878460648149</v>
      </c>
      <c r="D105">
        <v>1105</v>
      </c>
      <c r="E105">
        <f>VLOOKUP(B105,Items!$A:$B,2,FALSE)</f>
        <v>0.99</v>
      </c>
      <c r="F105">
        <f>VLOOKUP(D105,Sessions!$A:$B,2,FALSE)</f>
        <v>95</v>
      </c>
      <c r="G105">
        <f t="shared" si="3"/>
        <v>6</v>
      </c>
    </row>
    <row r="106" spans="1:7" x14ac:dyDescent="0.3">
      <c r="A106">
        <v>123</v>
      </c>
      <c r="B106">
        <v>1</v>
      </c>
      <c r="C106" s="2">
        <v>44740.320057870369</v>
      </c>
      <c r="D106">
        <v>1107</v>
      </c>
      <c r="E106">
        <f>VLOOKUP(B106,Items!$A:$B,2,FALSE)</f>
        <v>0.99</v>
      </c>
      <c r="F106">
        <f>VLOOKUP(D106,Sessions!$A:$B,2,FALSE)</f>
        <v>95</v>
      </c>
      <c r="G106">
        <f t="shared" si="3"/>
        <v>6</v>
      </c>
    </row>
    <row r="107" spans="1:7" x14ac:dyDescent="0.3">
      <c r="A107">
        <v>124</v>
      </c>
      <c r="B107">
        <v>3</v>
      </c>
      <c r="C107" s="2">
        <v>44760.289641203701</v>
      </c>
      <c r="D107">
        <v>1115</v>
      </c>
      <c r="E107">
        <f>VLOOKUP(B107,Items!$A:$B,2,FALSE)</f>
        <v>4.99</v>
      </c>
      <c r="F107">
        <f>VLOOKUP(D107,Sessions!$A:$B,2,FALSE)</f>
        <v>96</v>
      </c>
      <c r="G107">
        <f t="shared" si="3"/>
        <v>7</v>
      </c>
    </row>
    <row r="108" spans="1:7" x14ac:dyDescent="0.3">
      <c r="A108">
        <v>125</v>
      </c>
      <c r="B108">
        <v>1</v>
      </c>
      <c r="C108" s="2">
        <v>44760.934004629627</v>
      </c>
      <c r="D108">
        <v>1118</v>
      </c>
      <c r="E108">
        <f>VLOOKUP(B108,Items!$A:$B,2,FALSE)</f>
        <v>0.99</v>
      </c>
      <c r="F108">
        <f>VLOOKUP(D108,Sessions!$A:$B,2,FALSE)</f>
        <v>96</v>
      </c>
      <c r="G108">
        <f t="shared" si="3"/>
        <v>7</v>
      </c>
    </row>
    <row r="109" spans="1:7" x14ac:dyDescent="0.3">
      <c r="A109">
        <v>126</v>
      </c>
      <c r="B109">
        <v>2</v>
      </c>
      <c r="C109" s="2">
        <v>44761.486944444441</v>
      </c>
      <c r="D109">
        <v>1123</v>
      </c>
      <c r="E109">
        <f>VLOOKUP(B109,Items!$A:$B,2,FALSE)</f>
        <v>2.99</v>
      </c>
      <c r="F109">
        <f>VLOOKUP(D109,Sessions!$A:$B,2,FALSE)</f>
        <v>96</v>
      </c>
      <c r="G109">
        <f t="shared" si="3"/>
        <v>7</v>
      </c>
    </row>
    <row r="110" spans="1:7" x14ac:dyDescent="0.3">
      <c r="A110">
        <v>127</v>
      </c>
      <c r="B110">
        <v>4</v>
      </c>
      <c r="C110" s="2">
        <v>44762.111793981479</v>
      </c>
      <c r="D110">
        <v>1126</v>
      </c>
      <c r="E110">
        <f>VLOOKUP(B110,Items!$A:$B,2,FALSE)</f>
        <v>49.99</v>
      </c>
      <c r="F110">
        <f>VLOOKUP(D110,Sessions!$A:$B,2,FALSE)</f>
        <v>96</v>
      </c>
      <c r="G110">
        <f t="shared" si="3"/>
        <v>7</v>
      </c>
    </row>
    <row r="111" spans="1:7" x14ac:dyDescent="0.3">
      <c r="A111">
        <v>128</v>
      </c>
      <c r="B111">
        <v>1</v>
      </c>
      <c r="C111" s="2">
        <v>44762.55537037037</v>
      </c>
      <c r="D111">
        <v>1129</v>
      </c>
      <c r="E111">
        <f>VLOOKUP(B111,Items!$A:$B,2,FALSE)</f>
        <v>0.99</v>
      </c>
      <c r="F111">
        <f>VLOOKUP(D111,Sessions!$A:$B,2,FALSE)</f>
        <v>96</v>
      </c>
      <c r="G111">
        <f t="shared" si="3"/>
        <v>7</v>
      </c>
    </row>
    <row r="112" spans="1:7" x14ac:dyDescent="0.3">
      <c r="A112">
        <v>129</v>
      </c>
      <c r="B112">
        <v>1</v>
      </c>
      <c r="C112" s="2">
        <v>44764.276608796295</v>
      </c>
      <c r="D112">
        <v>1139</v>
      </c>
      <c r="E112">
        <f>VLOOKUP(B112,Items!$A:$B,2,FALSE)</f>
        <v>0.99</v>
      </c>
      <c r="F112">
        <f>VLOOKUP(D112,Sessions!$A:$B,2,FALSE)</f>
        <v>96</v>
      </c>
      <c r="G112">
        <f t="shared" si="3"/>
        <v>7</v>
      </c>
    </row>
    <row r="113" spans="1:7" x14ac:dyDescent="0.3">
      <c r="A113">
        <v>130</v>
      </c>
      <c r="B113">
        <v>1</v>
      </c>
      <c r="C113" s="2">
        <v>44765.010428240741</v>
      </c>
      <c r="D113">
        <v>1144</v>
      </c>
      <c r="E113">
        <f>VLOOKUP(B113,Items!$A:$B,2,FALSE)</f>
        <v>0.99</v>
      </c>
      <c r="F113">
        <f>VLOOKUP(D113,Sessions!$A:$B,2,FALSE)</f>
        <v>96</v>
      </c>
      <c r="G113">
        <f t="shared" si="3"/>
        <v>7</v>
      </c>
    </row>
    <row r="114" spans="1:7" x14ac:dyDescent="0.3">
      <c r="A114">
        <v>131</v>
      </c>
      <c r="B114">
        <v>2</v>
      </c>
      <c r="C114" s="2">
        <v>44640.36141203704</v>
      </c>
      <c r="D114">
        <v>1145</v>
      </c>
      <c r="E114">
        <f>VLOOKUP(B114,Items!$A:$B,2,FALSE)</f>
        <v>2.99</v>
      </c>
      <c r="F114">
        <f>VLOOKUP(D114,Sessions!$A:$B,2,FALSE)</f>
        <v>97</v>
      </c>
      <c r="G114">
        <f t="shared" si="3"/>
        <v>3</v>
      </c>
    </row>
    <row r="115" spans="1:7" x14ac:dyDescent="0.3">
      <c r="A115">
        <v>132</v>
      </c>
      <c r="B115">
        <v>3</v>
      </c>
      <c r="C115" s="2">
        <v>44640.543726851851</v>
      </c>
      <c r="D115">
        <v>1146</v>
      </c>
      <c r="E115">
        <f>VLOOKUP(B115,Items!$A:$B,2,FALSE)</f>
        <v>4.99</v>
      </c>
      <c r="F115">
        <f>VLOOKUP(D115,Sessions!$A:$B,2,FALSE)</f>
        <v>97</v>
      </c>
      <c r="G115">
        <f t="shared" si="3"/>
        <v>3</v>
      </c>
    </row>
    <row r="116" spans="1:7" x14ac:dyDescent="0.3">
      <c r="A116">
        <v>133</v>
      </c>
      <c r="B116">
        <v>4</v>
      </c>
      <c r="C116" s="2">
        <v>44770.413344907407</v>
      </c>
      <c r="D116">
        <v>1150</v>
      </c>
      <c r="E116">
        <f>VLOOKUP(B116,Items!$A:$B,2,FALSE)</f>
        <v>49.99</v>
      </c>
      <c r="F116">
        <f>VLOOKUP(D116,Sessions!$A:$B,2,FALSE)</f>
        <v>98</v>
      </c>
      <c r="G116">
        <f t="shared" si="3"/>
        <v>7</v>
      </c>
    </row>
    <row r="117" spans="1:7" x14ac:dyDescent="0.3">
      <c r="A117">
        <v>134</v>
      </c>
      <c r="B117">
        <v>3</v>
      </c>
      <c r="C117" s="2">
        <v>44774.060312499998</v>
      </c>
      <c r="D117">
        <v>1158</v>
      </c>
      <c r="E117">
        <f>VLOOKUP(B117,Items!$A:$B,2,FALSE)</f>
        <v>4.99</v>
      </c>
      <c r="F117">
        <f>VLOOKUP(D117,Sessions!$A:$B,2,FALSE)</f>
        <v>99</v>
      </c>
      <c r="G117">
        <f t="shared" si="3"/>
        <v>8</v>
      </c>
    </row>
    <row r="118" spans="1:7" x14ac:dyDescent="0.3">
      <c r="A118">
        <v>135</v>
      </c>
      <c r="B118">
        <v>1</v>
      </c>
      <c r="C118" s="2">
        <v>44775.649340277778</v>
      </c>
      <c r="D118">
        <v>1166</v>
      </c>
      <c r="E118">
        <f>VLOOKUP(B118,Items!$A:$B,2,FALSE)</f>
        <v>0.99</v>
      </c>
      <c r="F118">
        <f>VLOOKUP(D118,Sessions!$A:$B,2,FALSE)</f>
        <v>99</v>
      </c>
      <c r="G118">
        <f t="shared" si="3"/>
        <v>8</v>
      </c>
    </row>
    <row r="119" spans="1:7" x14ac:dyDescent="0.3">
      <c r="A119">
        <v>136</v>
      </c>
      <c r="B119">
        <v>1</v>
      </c>
      <c r="C119" s="2">
        <v>44875.309687499997</v>
      </c>
      <c r="D119">
        <v>1186</v>
      </c>
      <c r="E119">
        <f>VLOOKUP(B119,Items!$A:$B,2,FALSE)</f>
        <v>0.99</v>
      </c>
      <c r="F119">
        <f>VLOOKUP(D119,Sessions!$A:$B,2,FALSE)</f>
        <v>103</v>
      </c>
      <c r="G119">
        <f t="shared" si="3"/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4D1C-07BB-4B22-BFFF-3616202D2BBB}">
  <dimension ref="A1:B6"/>
  <sheetViews>
    <sheetView workbookViewId="0">
      <selection activeCell="F8" sqref="F8"/>
    </sheetView>
  </sheetViews>
  <sheetFormatPr baseColWidth="10" defaultRowHeight="14.4" x14ac:dyDescent="0.3"/>
  <cols>
    <col min="1" max="1" width="6.6640625" bestFit="1" customWidth="1"/>
    <col min="2" max="2" width="6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0.99</v>
      </c>
    </row>
    <row r="3" spans="1:2" x14ac:dyDescent="0.3">
      <c r="A3">
        <v>2</v>
      </c>
      <c r="B3">
        <v>2.99</v>
      </c>
    </row>
    <row r="4" spans="1:2" x14ac:dyDescent="0.3">
      <c r="A4">
        <v>3</v>
      </c>
      <c r="B4">
        <v>4.99</v>
      </c>
    </row>
    <row r="5" spans="1:2" x14ac:dyDescent="0.3">
      <c r="A5">
        <v>4</v>
      </c>
      <c r="B5">
        <v>49.99</v>
      </c>
    </row>
    <row r="6" spans="1:2" x14ac:dyDescent="0.3">
      <c r="A6">
        <v>5</v>
      </c>
      <c r="B6">
        <v>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KPIs</vt:lpstr>
      <vt:lpstr>Monthly</vt:lpstr>
      <vt:lpstr>Daily</vt:lpstr>
      <vt:lpstr>Groups</vt:lpstr>
      <vt:lpstr>Users</vt:lpstr>
      <vt:lpstr>Sessions</vt:lpstr>
      <vt:lpstr>Purchases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Martos Rodríguez</dc:creator>
  <cp:lastModifiedBy>Mario Martos Rodríguez</cp:lastModifiedBy>
  <dcterms:created xsi:type="dcterms:W3CDTF">2026-10-19T18:40:45Z</dcterms:created>
  <dcterms:modified xsi:type="dcterms:W3CDTF">2026-10-19T21:53:07Z</dcterms:modified>
</cp:coreProperties>
</file>